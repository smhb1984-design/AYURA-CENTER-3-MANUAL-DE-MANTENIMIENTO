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5.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6.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6" Type="http://schemas.microsoft.com/office/2020/02/relationships/classificationlabels" Target="docMetadata/LabelInfo.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mc:AlternateContent xmlns:mc="http://schemas.openxmlformats.org/markup-compatibility/2006">
    <mc:Choice Requires="x15">
      <x15ac:absPath xmlns:x15ac="http://schemas.microsoft.com/office/spreadsheetml/2010/11/ac" url="C:\Users\hvillada\Desktop\RETIE SOTECO ETAPA 3\EPM CODIGO DE MEDIDA\"/>
    </mc:Choice>
  </mc:AlternateContent>
  <xr:revisionPtr revIDLastSave="0" documentId="13_ncr:1_{E07EF091-B8C4-4EF5-B3DF-7D7B9BE60AD6}" xr6:coauthVersionLast="45" xr6:coauthVersionMax="47" xr10:uidLastSave="{00000000-0000-0000-0000-000000000000}"/>
  <bookViews>
    <workbookView xWindow="-110" yWindow="-110" windowWidth="19420" windowHeight="10300" firstSheet="1" activeTab="1" xr2:uid="{00000000-000D-0000-FFFF-FFFF00000000}"/>
  </bookViews>
  <sheets>
    <sheet name="Medida directa" sheetId="8" r:id="rId1"/>
    <sheet name="Medida semidirect e indirec (1)" sheetId="9" r:id="rId2"/>
    <sheet name="Medida semidirect e indirec (2)" sheetId="7" r:id="rId3"/>
    <sheet name="Medida semidirect e indirec (3)" sheetId="10" r:id="rId4"/>
    <sheet name="Medida semidirect e indirec (4)" sheetId="11" r:id="rId5"/>
    <sheet name="Medida semidirect e indirec (5)" sheetId="1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X35" i="12" l="1"/>
  <c r="W35" i="12"/>
  <c r="T34" i="12"/>
  <c r="T33" i="12"/>
  <c r="T32" i="12"/>
  <c r="T31" i="12"/>
  <c r="T30" i="12"/>
  <c r="T29" i="12"/>
  <c r="Y28" i="12"/>
  <c r="T28" i="12"/>
  <c r="Y27" i="12"/>
  <c r="T27" i="12"/>
  <c r="Y26" i="12"/>
  <c r="T26" i="12"/>
  <c r="Y25" i="12"/>
  <c r="T25" i="12"/>
  <c r="X35" i="11"/>
  <c r="W35" i="11"/>
  <c r="T34" i="11"/>
  <c r="T33" i="11"/>
  <c r="T32" i="11"/>
  <c r="T31" i="11"/>
  <c r="T30" i="11"/>
  <c r="T29" i="11"/>
  <c r="Y28" i="11"/>
  <c r="T28" i="11"/>
  <c r="Y27" i="11"/>
  <c r="T27" i="11"/>
  <c r="Y26" i="11"/>
  <c r="T26" i="11"/>
  <c r="Y25" i="11"/>
  <c r="T25" i="11"/>
  <c r="X35" i="10"/>
  <c r="W35" i="10"/>
  <c r="T34" i="10"/>
  <c r="T33" i="10"/>
  <c r="T32" i="10"/>
  <c r="T31" i="10"/>
  <c r="T30" i="10"/>
  <c r="T29" i="10"/>
  <c r="Y28" i="10"/>
  <c r="T28" i="10"/>
  <c r="Y27" i="10"/>
  <c r="T27" i="10"/>
  <c r="Y26" i="10"/>
  <c r="T26" i="10"/>
  <c r="Y25" i="10"/>
  <c r="T25" i="10"/>
  <c r="X35" i="9"/>
  <c r="W35" i="9"/>
  <c r="T34" i="9"/>
  <c r="T33" i="9"/>
  <c r="T32" i="9"/>
  <c r="T31" i="9"/>
  <c r="T30" i="9"/>
  <c r="T29" i="9"/>
  <c r="Y28" i="9"/>
  <c r="T28" i="9"/>
  <c r="Y27" i="9"/>
  <c r="T27" i="9"/>
  <c r="Y26" i="9"/>
  <c r="T26" i="9"/>
  <c r="Y25" i="9"/>
  <c r="T25" i="9"/>
  <c r="Y35" i="10" l="1"/>
  <c r="Y35" i="11"/>
  <c r="Y35" i="12"/>
  <c r="T35" i="12"/>
  <c r="T35" i="11"/>
  <c r="Y35" i="9"/>
  <c r="T35" i="9"/>
  <c r="T35" i="10"/>
  <c r="Y27" i="7"/>
  <c r="Y26" i="7" l="1"/>
  <c r="Y25" i="7"/>
  <c r="T25" i="7" l="1"/>
  <c r="T26" i="7"/>
  <c r="T27" i="7"/>
  <c r="T28" i="7"/>
  <c r="Y28" i="7"/>
  <c r="Y35" i="7" s="1"/>
  <c r="T29" i="7"/>
  <c r="T30" i="7"/>
  <c r="T31" i="7"/>
  <c r="T32" i="7"/>
  <c r="T33" i="7"/>
  <c r="T34" i="7"/>
  <c r="W35" i="7"/>
  <c r="X35" i="7"/>
  <c r="T35" i="7" l="1"/>
</calcChain>
</file>

<file path=xl/sharedStrings.xml><?xml version="1.0" encoding="utf-8"?>
<sst xmlns="http://schemas.openxmlformats.org/spreadsheetml/2006/main" count="601" uniqueCount="115">
  <si>
    <t>EPM S.A E.S.P</t>
  </si>
  <si>
    <t>INFORMACIÓN DEL CLIENTE</t>
  </si>
  <si>
    <t>FECHA</t>
  </si>
  <si>
    <t>CIUDAD</t>
  </si>
  <si>
    <t>Manizales</t>
  </si>
  <si>
    <t>Central lechera de Manizales - CELEMA SA</t>
  </si>
  <si>
    <t>CEDULA O NIT</t>
  </si>
  <si>
    <t>DIRECCION</t>
  </si>
  <si>
    <t>Cra 22 # 71-79</t>
  </si>
  <si>
    <t>NIVEL DE TENSIÓN MEDIDA</t>
  </si>
  <si>
    <t>CAPACIDAD INSTALADA</t>
  </si>
  <si>
    <t>INFORMACIÓN SISTEMA DE MEDICIÓN</t>
  </si>
  <si>
    <t>ELEMENTOS DEL SISTEMA DE MEDIDA</t>
  </si>
  <si>
    <t>Equipo</t>
  </si>
  <si>
    <t>Marca</t>
  </si>
  <si>
    <t xml:space="preserve">Serie </t>
  </si>
  <si>
    <t>Componentes</t>
  </si>
  <si>
    <t>Medidor</t>
  </si>
  <si>
    <t>Gabinete / Caja</t>
  </si>
  <si>
    <t>SI EL CLIENTE VA A SER TELEMDIDO INGRESAR LOS SIGUENTES DATOS:</t>
  </si>
  <si>
    <t>INFORMACION</t>
  </si>
  <si>
    <t>MODEM PRINCIPAL</t>
  </si>
  <si>
    <t>MODEM RESPALDO</t>
  </si>
  <si>
    <t xml:space="preserve">Medio de comunicación </t>
  </si>
  <si>
    <t>Marca Modem</t>
  </si>
  <si>
    <t>Número de Serie Modem</t>
  </si>
  <si>
    <t>GPRS  (IP)</t>
  </si>
  <si>
    <t>IP</t>
  </si>
  <si>
    <t>OPERADOR</t>
  </si>
  <si>
    <t>IMEI</t>
  </si>
  <si>
    <t>Puerto</t>
  </si>
  <si>
    <r>
      <t xml:space="preserve">NOTA: </t>
    </r>
    <r>
      <rPr>
        <sz val="11"/>
        <color theme="1"/>
        <rFont val="Trebuchet MS"/>
        <family val="2"/>
      </rPr>
      <t>Los certificados de calibracion y certificados de producto de todos los elementos del sistema de medición deben anexarse en formato PDF individual al realizar la solicitud</t>
    </r>
  </si>
  <si>
    <t>APN</t>
  </si>
  <si>
    <t>PROGRAMACION:</t>
  </si>
  <si>
    <t>Fecha:</t>
  </si>
  <si>
    <t>Hora:</t>
  </si>
  <si>
    <t>Contacto:</t>
  </si>
  <si>
    <t>Telefono:</t>
  </si>
  <si>
    <t>RESPONSABLE INFORMACIÓN:</t>
  </si>
  <si>
    <t>Nombre :</t>
  </si>
  <si>
    <t>Firma :</t>
  </si>
  <si>
    <t xml:space="preserve">Cables para señales de tension </t>
  </si>
  <si>
    <t>Cables para señales de corriente</t>
  </si>
  <si>
    <r>
      <t>TC</t>
    </r>
    <r>
      <rPr>
        <b/>
        <vertAlign val="subscript"/>
        <sz val="10"/>
        <color theme="1"/>
        <rFont val="Trebuchet MS"/>
        <family val="2"/>
      </rPr>
      <t xml:space="preserve"> 1</t>
    </r>
  </si>
  <si>
    <t>Gabinete</t>
  </si>
  <si>
    <r>
      <t xml:space="preserve">TC </t>
    </r>
    <r>
      <rPr>
        <b/>
        <vertAlign val="subscript"/>
        <sz val="10"/>
        <color theme="1"/>
        <rFont val="Trebuchet MS"/>
        <family val="2"/>
      </rPr>
      <t>2</t>
    </r>
  </si>
  <si>
    <r>
      <t xml:space="preserve">TC </t>
    </r>
    <r>
      <rPr>
        <b/>
        <vertAlign val="subscript"/>
        <sz val="10"/>
        <color theme="1"/>
        <rFont val="Trebuchet MS"/>
        <family val="2"/>
      </rPr>
      <t>3</t>
    </r>
  </si>
  <si>
    <t>Bloque de prueba (Bornera)</t>
  </si>
  <si>
    <r>
      <t>T P</t>
    </r>
    <r>
      <rPr>
        <b/>
        <vertAlign val="subscript"/>
        <sz val="10"/>
        <color theme="1"/>
        <rFont val="Trebuchet MS"/>
        <family val="2"/>
      </rPr>
      <t xml:space="preserve"> 1</t>
    </r>
  </si>
  <si>
    <r>
      <t xml:space="preserve">T P </t>
    </r>
    <r>
      <rPr>
        <b/>
        <vertAlign val="subscript"/>
        <sz val="10"/>
        <color theme="1"/>
        <rFont val="Trebuchet MS"/>
        <family val="2"/>
      </rPr>
      <t>2</t>
    </r>
  </si>
  <si>
    <r>
      <t xml:space="preserve">T P </t>
    </r>
    <r>
      <rPr>
        <b/>
        <vertAlign val="subscript"/>
        <sz val="10"/>
        <color theme="1"/>
        <rFont val="Trebuchet MS"/>
        <family val="2"/>
      </rPr>
      <t>3</t>
    </r>
  </si>
  <si>
    <t>Constante de facturación</t>
  </si>
  <si>
    <t xml:space="preserve">INFORMACIÓN DEL SISTEMA DE MEDICIÓN </t>
  </si>
  <si>
    <t>MEDIDA SEMIDIRECTA E INDIRECTA</t>
  </si>
  <si>
    <t>MEDIDA DIRECTA</t>
  </si>
  <si>
    <t>Tipo, Modelo o Referencia</t>
  </si>
  <si>
    <t>Longitud</t>
  </si>
  <si>
    <t>Calibre</t>
  </si>
  <si>
    <t>NOMBRE DEL PROYECTO</t>
  </si>
  <si>
    <t>TIPO DE MERCADO</t>
  </si>
  <si>
    <t>CANTIDAD DE INSTALACIÓN EN DIRECTA REPORTADAS</t>
  </si>
  <si>
    <t>NÚMERO DE PROYECTO</t>
  </si>
  <si>
    <t>Este formulario se ingresa por cada instalación de semi o indirecta que tenga en su proyecto. Agregar las pestañas que requiera para informar todas las instalaciones de su proyecto.</t>
  </si>
  <si>
    <t>DATOS EQUIPOS DE MEDIDA DIRECTA</t>
  </si>
  <si>
    <t>INFORMACIÓN SISTEMA DE MEDIDA DIRECTA</t>
  </si>
  <si>
    <t xml:space="preserve">      Si                   No</t>
  </si>
  <si>
    <t>MERCADO REGULADO         MERCADO NO REGULADO</t>
  </si>
  <si>
    <t>¿CALIBRADO POR EL LABORATORIO DE EMP?</t>
  </si>
  <si>
    <t>¿CALIBRADOS POR EL LABORATORIO DE EMP?</t>
  </si>
  <si>
    <t>En este formulario, ingrese la especificación de los medidores de directa que tenga en su proyecto, agregando las celdas necesarias para informar todos sus medidores.
Así mismo, para los gabinetes, especificar la información por cada gabinete que albergue medidores de directa.</t>
  </si>
  <si>
    <t>Medidor Principal Activa Reactiva</t>
  </si>
  <si>
    <t>Medidor Respaldo Activa Reactiva</t>
  </si>
  <si>
    <t>ENVIGADO</t>
  </si>
  <si>
    <t>AYURA CENTER AMPLIACION ETAPA 3</t>
  </si>
  <si>
    <t>CALLE 26 SUR No 48 - 121/141</t>
  </si>
  <si>
    <t>500 KVA</t>
  </si>
  <si>
    <t>HEMER DE JESUS VILLADA SANCHEZ</t>
  </si>
  <si>
    <t>UMI</t>
  </si>
  <si>
    <t>INTERIOR/TAB MDD CRD 1000 AMP 220 V 220 080 070</t>
  </si>
  <si>
    <t>EMT 34/MDD 3 FASE 4 FILOS</t>
  </si>
  <si>
    <t>900.325.475</t>
  </si>
  <si>
    <t>23554751</t>
  </si>
  <si>
    <t>13200/208/120 V</t>
  </si>
  <si>
    <t>BLOX</t>
  </si>
  <si>
    <t>HS600 (VENTANA)</t>
  </si>
  <si>
    <t>METCOM</t>
  </si>
  <si>
    <t>MCS301-CE42C-300ER</t>
  </si>
  <si>
    <t>CENTELSA</t>
  </si>
  <si>
    <t>CABLE</t>
  </si>
  <si>
    <t>12</t>
  </si>
  <si>
    <t>4 m</t>
  </si>
  <si>
    <t>RYMEL</t>
  </si>
  <si>
    <t>TCIV(VENTANA)</t>
  </si>
  <si>
    <t>MCS301-CE42C-300ER-2020</t>
  </si>
  <si>
    <t>MCS301</t>
  </si>
  <si>
    <t>CENCELSA</t>
  </si>
  <si>
    <t>INT/TAB MDD CRD 500A 220V 220 080 070 OP 1188</t>
  </si>
  <si>
    <t>INT/TAB MDD CRD 500A 220V 220 080 070 OP 1201</t>
  </si>
  <si>
    <t>INT/TAB TRF CRD 1000A 220V 220 190 070 OP 1583</t>
  </si>
  <si>
    <t>INT/TAB MDD CRD 800A 220V 220 080 070 OP 1245</t>
  </si>
  <si>
    <t>INTEL/GENESIS</t>
  </si>
  <si>
    <t>DATOS EQUIPOS DE MEDIDA 601</t>
  </si>
  <si>
    <t>DATOS EQUIPOS DE MEDIDA 701</t>
  </si>
  <si>
    <t>DATOS EQUIPOS DE MEDIDA 801</t>
  </si>
  <si>
    <t>DATOS EQUIPOS DE MEDIDA ZONAS COMUNES</t>
  </si>
  <si>
    <t>DATOS EQUIPOS DE MEDIDA 101</t>
  </si>
  <si>
    <t>Medidor 602</t>
  </si>
  <si>
    <t>Medidor 603</t>
  </si>
  <si>
    <t>Medidor 604</t>
  </si>
  <si>
    <t>Medidor 702</t>
  </si>
  <si>
    <t>Medidor 703</t>
  </si>
  <si>
    <t>Medidor 704</t>
  </si>
  <si>
    <t>Medidor 802</t>
  </si>
  <si>
    <t>Medidor 803</t>
  </si>
  <si>
    <t>Medidor 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</si>
</sst>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Trebuchet MS"/>
      <family val="2"/>
    </font>
    <font>
      <b/>
      <sz val="10"/>
      <color theme="1"/>
      <name val="Trebuchet MS"/>
      <family val="2"/>
    </font>
    <font>
      <b/>
      <vertAlign val="subscript"/>
      <sz val="10"/>
      <color theme="1"/>
      <name val="Trebuchet MS"/>
      <family val="2"/>
    </font>
    <font>
      <b/>
      <sz val="14"/>
      <color theme="0"/>
      <name val="Trebuchet MS"/>
      <family val="2"/>
    </font>
    <font>
      <sz val="11"/>
      <color theme="1"/>
      <name val="Trebuchet MS"/>
      <family val="2"/>
    </font>
    <font>
      <b/>
      <sz val="11"/>
      <color theme="1"/>
      <name val="Trebuchet MS"/>
      <family val="2"/>
    </font>
    <font>
      <sz val="12"/>
      <color theme="1"/>
      <name val="Trebuchet MS"/>
      <family val="2"/>
    </font>
    <font>
      <b/>
      <sz val="12"/>
      <color theme="1"/>
      <name val="Trebuchet MS"/>
      <family val="2"/>
    </font>
    <font>
      <b/>
      <sz val="16"/>
      <color theme="1"/>
      <name val="Trebuchet MS"/>
      <family val="2"/>
    </font>
    <font>
      <sz val="10"/>
      <color theme="0"/>
      <name val="Trebuchet MS"/>
      <family val="2"/>
    </font>
    <font>
      <sz val="10"/>
      <color rgb="FFFF0000"/>
      <name val="Trebuchet MS"/>
      <family val="2"/>
    </font>
    <font>
      <sz val="12"/>
      <color rgb="FFFF0000"/>
      <name val="Trebuchet MS"/>
      <family val="2"/>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thin">
        <color auto="1"/>
      </left>
      <right/>
      <top/>
      <bottom/>
      <diagonal/>
    </border>
    <border>
      <left/>
      <right/>
      <top style="thin">
        <color indexed="64"/>
      </top>
      <bottom style="thin">
        <color indexed="64"/>
      </bottom>
      <diagonal/>
    </border>
    <border>
      <left style="hair">
        <color auto="1"/>
      </left>
      <right/>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hair">
        <color indexed="64"/>
      </left>
      <right/>
      <top style="hair">
        <color indexed="64"/>
      </top>
      <bottom style="thin">
        <color auto="1"/>
      </bottom>
      <diagonal/>
    </border>
    <border>
      <left/>
      <right/>
      <top style="hair">
        <color indexed="64"/>
      </top>
      <bottom style="thin">
        <color auto="1"/>
      </bottom>
      <diagonal/>
    </border>
    <border>
      <left/>
      <right style="hair">
        <color indexed="64"/>
      </right>
      <top style="hair">
        <color indexed="64"/>
      </top>
      <bottom style="thin">
        <color auto="1"/>
      </bottom>
      <diagonal/>
    </border>
    <border>
      <left style="hair">
        <color indexed="64"/>
      </left>
      <right/>
      <top style="thin">
        <color auto="1"/>
      </top>
      <bottom style="hair">
        <color indexed="64"/>
      </bottom>
      <diagonal/>
    </border>
    <border>
      <left/>
      <right/>
      <top style="thin">
        <color auto="1"/>
      </top>
      <bottom style="hair">
        <color indexed="64"/>
      </bottom>
      <diagonal/>
    </border>
    <border>
      <left/>
      <right style="hair">
        <color indexed="64"/>
      </right>
      <top style="thin">
        <color auto="1"/>
      </top>
      <bottom style="hair">
        <color indexed="64"/>
      </bottom>
      <diagonal/>
    </border>
    <border>
      <left style="thin">
        <color auto="1"/>
      </left>
      <right style="thin">
        <color auto="1"/>
      </right>
      <top/>
      <bottom style="thin">
        <color auto="1"/>
      </bottom>
      <diagonal/>
    </border>
  </borders>
  <cellStyleXfs count="1">
    <xf numFmtId="0" fontId="0" fillId="0" borderId="0"/>
  </cellStyleXfs>
  <cellXfs count="103">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wrapText="1"/>
    </xf>
    <xf numFmtId="0" fontId="1" fillId="0" borderId="0" xfId="0" applyFont="1" applyAlignment="1">
      <alignment vertical="center"/>
    </xf>
    <xf numFmtId="0" fontId="2" fillId="0" borderId="1" xfId="0" applyFont="1" applyBorder="1" applyAlignment="1">
      <alignment vertical="center"/>
    </xf>
    <xf numFmtId="0" fontId="1" fillId="0" borderId="0" xfId="0" applyFont="1" applyAlignment="1">
      <alignment horizontal="center" vertical="center"/>
    </xf>
    <xf numFmtId="0" fontId="1" fillId="0" borderId="1" xfId="0" applyFont="1" applyBorder="1" applyAlignment="1">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14" fontId="1" fillId="0" borderId="0" xfId="0" applyNumberFormat="1" applyFont="1" applyAlignment="1">
      <alignment vertical="center"/>
    </xf>
    <xf numFmtId="14" fontId="1" fillId="0" borderId="4" xfId="0" applyNumberFormat="1" applyFont="1" applyBorder="1" applyAlignment="1">
      <alignment vertical="center"/>
    </xf>
    <xf numFmtId="0" fontId="2" fillId="5" borderId="1" xfId="0" applyFont="1" applyFill="1" applyBorder="1" applyAlignment="1">
      <alignment horizontal="center" vertical="center"/>
    </xf>
    <xf numFmtId="0" fontId="7" fillId="0" borderId="0" xfId="0" applyFont="1" applyAlignment="1">
      <alignment vertical="center"/>
    </xf>
    <xf numFmtId="0" fontId="8" fillId="0" borderId="0" xfId="0" applyFont="1" applyAlignment="1">
      <alignment horizontal="center" vertical="center" wrapText="1"/>
    </xf>
    <xf numFmtId="0" fontId="7" fillId="0" borderId="0" xfId="0" applyFont="1" applyAlignment="1">
      <alignment vertical="center" wrapText="1"/>
    </xf>
    <xf numFmtId="0" fontId="7" fillId="0" borderId="4" xfId="0" applyFont="1" applyBorder="1" applyAlignment="1">
      <alignment vertical="center"/>
    </xf>
    <xf numFmtId="0" fontId="7" fillId="0" borderId="0" xfId="0" applyFont="1" applyAlignment="1">
      <alignment horizontal="right" vertical="center" wrapText="1"/>
    </xf>
    <xf numFmtId="0" fontId="1" fillId="0" borderId="1" xfId="0" applyFont="1" applyBorder="1"/>
    <xf numFmtId="0" fontId="2" fillId="5" borderId="2" xfId="0" applyFont="1" applyFill="1" applyBorder="1" applyAlignment="1">
      <alignment horizontal="center" vertical="center"/>
    </xf>
    <xf numFmtId="0" fontId="8" fillId="0" borderId="0" xfId="0" applyFont="1" applyAlignment="1">
      <alignment horizontal="left"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vertical="center" wrapText="1"/>
    </xf>
    <xf numFmtId="0" fontId="10" fillId="0" borderId="0" xfId="0" applyFont="1" applyAlignment="1">
      <alignment vertical="center"/>
    </xf>
    <xf numFmtId="0" fontId="1" fillId="0" borderId="4" xfId="0" applyFont="1" applyBorder="1" applyAlignment="1">
      <alignment vertical="center"/>
    </xf>
    <xf numFmtId="0" fontId="2" fillId="5" borderId="22" xfId="0" applyFont="1" applyFill="1" applyBorder="1" applyAlignment="1">
      <alignment horizontal="center" vertical="center" wrapText="1"/>
    </xf>
    <xf numFmtId="0" fontId="2" fillId="5" borderId="22" xfId="0" applyFont="1" applyFill="1" applyBorder="1" applyAlignment="1">
      <alignment horizontal="center" vertical="center"/>
    </xf>
    <xf numFmtId="1" fontId="1" fillId="0" borderId="4" xfId="0" applyNumberFormat="1" applyFont="1" applyBorder="1" applyAlignment="1">
      <alignment vertical="center"/>
    </xf>
    <xf numFmtId="14" fontId="1" fillId="0" borderId="4" xfId="0" applyNumberFormat="1" applyFont="1" applyBorder="1" applyAlignment="1">
      <alignment horizontal="left" vertical="center"/>
    </xf>
    <xf numFmtId="14" fontId="1" fillId="0" borderId="4" xfId="0" applyNumberFormat="1" applyFont="1" applyBorder="1" applyAlignment="1">
      <alignment horizontal="center" vertical="center"/>
    </xf>
    <xf numFmtId="14" fontId="1" fillId="0" borderId="0" xfId="0" applyNumberFormat="1" applyFont="1" applyAlignment="1">
      <alignment horizontal="left" vertical="center"/>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1" fillId="0" borderId="10" xfId="0" applyFont="1" applyBorder="1" applyAlignment="1">
      <alignment vertical="center" wrapText="1"/>
    </xf>
    <xf numFmtId="0" fontId="11" fillId="0" borderId="10" xfId="0" applyFont="1" applyBorder="1" applyAlignment="1">
      <alignment vertical="center"/>
    </xf>
    <xf numFmtId="0" fontId="11" fillId="0" borderId="12" xfId="0" applyFont="1" applyBorder="1" applyAlignment="1">
      <alignment vertical="center"/>
    </xf>
    <xf numFmtId="49" fontId="1" fillId="0" borderId="4" xfId="0" applyNumberFormat="1" applyFont="1" applyBorder="1" applyAlignment="1">
      <alignment vertical="center"/>
    </xf>
    <xf numFmtId="0" fontId="2" fillId="0" borderId="1" xfId="0" applyFont="1" applyBorder="1" applyAlignment="1">
      <alignment horizontal="center" vertical="center"/>
    </xf>
    <xf numFmtId="0" fontId="10" fillId="0" borderId="0" xfId="0" applyFont="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left" vertical="center" wrapText="1"/>
    </xf>
    <xf numFmtId="0" fontId="2" fillId="5" borderId="2" xfId="0" applyFont="1" applyFill="1" applyBorder="1" applyAlignment="1">
      <alignment horizontal="center" vertical="center"/>
    </xf>
    <xf numFmtId="0" fontId="1" fillId="0" borderId="0" xfId="0" applyFont="1" applyAlignment="1">
      <alignment horizontal="center" vertical="center"/>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4" xfId="0" applyNumberFormat="1" applyFont="1" applyBorder="1" applyAlignment="1">
      <alignment vertical="center"/>
    </xf>
    <xf numFmtId="3" fontId="1" fillId="0" borderId="4" xfId="0" applyNumberFormat="1"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8" fillId="0" borderId="0" xfId="0" applyFont="1" applyAlignment="1">
      <alignment horizontal="left" vertical="center" wrapText="1"/>
    </xf>
    <xf numFmtId="0" fontId="2" fillId="4" borderId="0" xfId="0" applyFont="1" applyFill="1" applyAlignment="1">
      <alignment horizontal="center" vertical="center" wrapText="1"/>
    </xf>
    <xf numFmtId="0" fontId="2" fillId="0" borderId="0" xfId="0" applyFont="1" applyAlignment="1">
      <alignment horizontal="left" vertical="center" wrapText="1"/>
    </xf>
    <xf numFmtId="0" fontId="9" fillId="0" borderId="0" xfId="0" applyFont="1" applyAlignment="1">
      <alignment horizontal="center" vertical="center"/>
    </xf>
    <xf numFmtId="0" fontId="7" fillId="0" borderId="0" xfId="0" applyFont="1" applyAlignment="1">
      <alignment horizontal="center" vertical="center"/>
    </xf>
    <xf numFmtId="0" fontId="4" fillId="2" borderId="0" xfId="0" applyFont="1" applyFill="1" applyAlignment="1">
      <alignment horizontal="center" vertical="center"/>
    </xf>
    <xf numFmtId="0" fontId="2" fillId="3" borderId="1" xfId="0" applyFont="1" applyFill="1" applyBorder="1" applyAlignment="1">
      <alignment horizontal="center" vertical="center"/>
    </xf>
    <xf numFmtId="0" fontId="2" fillId="0" borderId="6" xfId="0"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3" borderId="2"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3"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5" borderId="1"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9" xfId="0" applyFont="1" applyBorder="1" applyAlignment="1">
      <alignment horizontal="center" vertical="center" wrapText="1"/>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1" fillId="0" borderId="3" xfId="0" applyFont="1" applyBorder="1" applyAlignment="1">
      <alignment horizontal="center" vertical="center"/>
    </xf>
    <xf numFmtId="49" fontId="2" fillId="0" borderId="1" xfId="0" applyNumberFormat="1"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11" xfId="0" applyFont="1" applyFill="1" applyBorder="1" applyAlignment="1">
      <alignment horizontal="center" vertical="center" wrapText="1"/>
    </xf>
    <xf numFmtId="14" fontId="1" fillId="0" borderId="6" xfId="0" applyNumberFormat="1" applyFont="1" applyBorder="1" applyAlignment="1">
      <alignment horizontal="center" vertical="center"/>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7</xdr:col>
      <xdr:colOff>1694709</xdr:colOff>
      <xdr:row>1</xdr:row>
      <xdr:rowOff>53192</xdr:rowOff>
    </xdr:from>
    <xdr:to>
      <xdr:col>8</xdr:col>
      <xdr:colOff>1202378</xdr:colOff>
      <xdr:row>4</xdr:row>
      <xdr:rowOff>157409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52761" y="238744"/>
          <a:ext cx="1338448" cy="871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7</xdr:col>
          <xdr:colOff>31750</xdr:colOff>
          <xdr:row>15</xdr:row>
          <xdr:rowOff>95250</xdr:rowOff>
        </xdr:from>
        <xdr:to>
          <xdr:col>7</xdr:col>
          <xdr:colOff>228600</xdr:colOff>
          <xdr:row>15</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819150</xdr:colOff>
          <xdr:row>15</xdr:row>
          <xdr:rowOff>95250</xdr:rowOff>
        </xdr:from>
        <xdr:to>
          <xdr:col>7</xdr:col>
          <xdr:colOff>1022350</xdr:colOff>
          <xdr:row>15</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190500</xdr:colOff>
      <xdr:row>26</xdr:row>
      <xdr:rowOff>119062</xdr:rowOff>
    </xdr:from>
    <xdr:to>
      <xdr:col>7</xdr:col>
      <xdr:colOff>1505018</xdr:colOff>
      <xdr:row>30</xdr:row>
      <xdr:rowOff>176248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9183688" y="6588125"/>
          <a:ext cx="1314518" cy="6921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1833561</xdr:colOff>
      <xdr:row>1</xdr:row>
      <xdr:rowOff>17007</xdr:rowOff>
    </xdr:from>
    <xdr:to>
      <xdr:col>9</xdr:col>
      <xdr:colOff>1338603</xdr:colOff>
      <xdr:row>5</xdr:row>
      <xdr:rowOff>508</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7311" y="188457"/>
          <a:ext cx="1562442" cy="872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15</xdr:row>
          <xdr:rowOff>69850</xdr:rowOff>
        </xdr:from>
        <xdr:to>
          <xdr:col>3</xdr:col>
          <xdr:colOff>241300</xdr:colOff>
          <xdr:row>15</xdr:row>
          <xdr:rowOff>241300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1612900</xdr:colOff>
          <xdr:row>15</xdr:row>
          <xdr:rowOff>76200</xdr:rowOff>
        </xdr:from>
        <xdr:to>
          <xdr:col>4</xdr:col>
          <xdr:colOff>50800</xdr:colOff>
          <xdr:row>15</xdr:row>
          <xdr:rowOff>247650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88900</xdr:rowOff>
        </xdr:from>
        <xdr:to>
          <xdr:col>8</xdr:col>
          <xdr:colOff>228600</xdr:colOff>
          <xdr:row>15</xdr:row>
          <xdr:rowOff>260350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15</xdr:row>
          <xdr:rowOff>88900</xdr:rowOff>
        </xdr:from>
        <xdr:to>
          <xdr:col>8</xdr:col>
          <xdr:colOff>1022350</xdr:colOff>
          <xdr:row>15</xdr:row>
          <xdr:rowOff>260350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198438</xdr:colOff>
      <xdr:row>52</xdr:row>
      <xdr:rowOff>127000</xdr:rowOff>
    </xdr:from>
    <xdr:to>
      <xdr:col>7</xdr:col>
      <xdr:colOff>1512956</xdr:colOff>
      <xdr:row>56</xdr:row>
      <xdr:rowOff>184186</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9398001" y="15501938"/>
          <a:ext cx="1314518" cy="6921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1833561</xdr:colOff>
      <xdr:row>1</xdr:row>
      <xdr:rowOff>17007</xdr:rowOff>
    </xdr:from>
    <xdr:to>
      <xdr:col>9</xdr:col>
      <xdr:colOff>1338603</xdr:colOff>
      <xdr:row>5</xdr:row>
      <xdr:rowOff>508</xdr:rowOff>
    </xdr:to>
    <xdr:pic>
      <xdr:nvPicPr>
        <xdr:cNvPr id="4" name="Picture 1">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87249" y="207507"/>
          <a:ext cx="1469573" cy="924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15</xdr:row>
          <xdr:rowOff>69850</xdr:rowOff>
        </xdr:from>
        <xdr:to>
          <xdr:col>3</xdr:col>
          <xdr:colOff>241300</xdr:colOff>
          <xdr:row>15</xdr:row>
          <xdr:rowOff>241300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1612900</xdr:colOff>
          <xdr:row>15</xdr:row>
          <xdr:rowOff>76200</xdr:rowOff>
        </xdr:from>
        <xdr:to>
          <xdr:col>4</xdr:col>
          <xdr:colOff>50800</xdr:colOff>
          <xdr:row>15</xdr:row>
          <xdr:rowOff>247650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88900</xdr:rowOff>
        </xdr:from>
        <xdr:to>
          <xdr:col>8</xdr:col>
          <xdr:colOff>228600</xdr:colOff>
          <xdr:row>15</xdr:row>
          <xdr:rowOff>260350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15</xdr:row>
          <xdr:rowOff>88900</xdr:rowOff>
        </xdr:from>
        <xdr:to>
          <xdr:col>8</xdr:col>
          <xdr:colOff>1022350</xdr:colOff>
          <xdr:row>15</xdr:row>
          <xdr:rowOff>260350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150813</xdr:colOff>
      <xdr:row>52</xdr:row>
      <xdr:rowOff>71438</xdr:rowOff>
    </xdr:from>
    <xdr:to>
      <xdr:col>7</xdr:col>
      <xdr:colOff>1465331</xdr:colOff>
      <xdr:row>56</xdr:row>
      <xdr:rowOff>128624</xdr:rowOff>
    </xdr:to>
    <xdr:pic>
      <xdr:nvPicPr>
        <xdr:cNvPr id="7" name="Imagen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stretch>
          <a:fillRect/>
        </a:stretch>
      </xdr:blipFill>
      <xdr:spPr>
        <a:xfrm>
          <a:off x="9350376" y="15446376"/>
          <a:ext cx="1314518" cy="6921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1833561</xdr:colOff>
      <xdr:row>1</xdr:row>
      <xdr:rowOff>17007</xdr:rowOff>
    </xdr:from>
    <xdr:to>
      <xdr:col>9</xdr:col>
      <xdr:colOff>1338603</xdr:colOff>
      <xdr:row>5</xdr:row>
      <xdr:rowOff>508</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7311" y="188457"/>
          <a:ext cx="1562442" cy="872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15</xdr:row>
          <xdr:rowOff>69850</xdr:rowOff>
        </xdr:from>
        <xdr:to>
          <xdr:col>3</xdr:col>
          <xdr:colOff>241300</xdr:colOff>
          <xdr:row>15</xdr:row>
          <xdr:rowOff>241300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1612900</xdr:colOff>
          <xdr:row>15</xdr:row>
          <xdr:rowOff>76200</xdr:rowOff>
        </xdr:from>
        <xdr:to>
          <xdr:col>4</xdr:col>
          <xdr:colOff>50800</xdr:colOff>
          <xdr:row>15</xdr:row>
          <xdr:rowOff>247650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88900</xdr:rowOff>
        </xdr:from>
        <xdr:to>
          <xdr:col>8</xdr:col>
          <xdr:colOff>228600</xdr:colOff>
          <xdr:row>15</xdr:row>
          <xdr:rowOff>260350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15</xdr:row>
          <xdr:rowOff>88900</xdr:rowOff>
        </xdr:from>
        <xdr:to>
          <xdr:col>8</xdr:col>
          <xdr:colOff>1022350</xdr:colOff>
          <xdr:row>15</xdr:row>
          <xdr:rowOff>260350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269875</xdr:colOff>
      <xdr:row>52</xdr:row>
      <xdr:rowOff>95250</xdr:rowOff>
    </xdr:from>
    <xdr:to>
      <xdr:col>7</xdr:col>
      <xdr:colOff>1584393</xdr:colOff>
      <xdr:row>56</xdr:row>
      <xdr:rowOff>152436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9469438" y="15470188"/>
          <a:ext cx="1314518" cy="6921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1833561</xdr:colOff>
      <xdr:row>1</xdr:row>
      <xdr:rowOff>17007</xdr:rowOff>
    </xdr:from>
    <xdr:to>
      <xdr:col>9</xdr:col>
      <xdr:colOff>1338603</xdr:colOff>
      <xdr:row>5</xdr:row>
      <xdr:rowOff>508</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7311" y="188457"/>
          <a:ext cx="1562442" cy="872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15</xdr:row>
          <xdr:rowOff>69850</xdr:rowOff>
        </xdr:from>
        <xdr:to>
          <xdr:col>3</xdr:col>
          <xdr:colOff>241300</xdr:colOff>
          <xdr:row>15</xdr:row>
          <xdr:rowOff>241300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1612900</xdr:colOff>
          <xdr:row>15</xdr:row>
          <xdr:rowOff>76200</xdr:rowOff>
        </xdr:from>
        <xdr:to>
          <xdr:col>4</xdr:col>
          <xdr:colOff>50800</xdr:colOff>
          <xdr:row>15</xdr:row>
          <xdr:rowOff>247650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88900</xdr:rowOff>
        </xdr:from>
        <xdr:to>
          <xdr:col>8</xdr:col>
          <xdr:colOff>228600</xdr:colOff>
          <xdr:row>15</xdr:row>
          <xdr:rowOff>260350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15</xdr:row>
          <xdr:rowOff>88900</xdr:rowOff>
        </xdr:from>
        <xdr:to>
          <xdr:col>8</xdr:col>
          <xdr:colOff>1022350</xdr:colOff>
          <xdr:row>15</xdr:row>
          <xdr:rowOff>260350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269875</xdr:colOff>
      <xdr:row>52</xdr:row>
      <xdr:rowOff>95250</xdr:rowOff>
    </xdr:from>
    <xdr:to>
      <xdr:col>7</xdr:col>
      <xdr:colOff>1584393</xdr:colOff>
      <xdr:row>56</xdr:row>
      <xdr:rowOff>152436</xdr:rowOff>
    </xdr:to>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stretch>
          <a:fillRect/>
        </a:stretch>
      </xdr:blipFill>
      <xdr:spPr>
        <a:xfrm>
          <a:off x="9464675" y="15449550"/>
          <a:ext cx="1314518" cy="6858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1833561</xdr:colOff>
      <xdr:row>1</xdr:row>
      <xdr:rowOff>17007</xdr:rowOff>
    </xdr:from>
    <xdr:to>
      <xdr:col>9</xdr:col>
      <xdr:colOff>1338603</xdr:colOff>
      <xdr:row>5</xdr:row>
      <xdr:rowOff>508</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7311" y="188457"/>
          <a:ext cx="1562442" cy="872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15</xdr:row>
          <xdr:rowOff>69850</xdr:rowOff>
        </xdr:from>
        <xdr:to>
          <xdr:col>3</xdr:col>
          <xdr:colOff>241300</xdr:colOff>
          <xdr:row>15</xdr:row>
          <xdr:rowOff>241300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1612900</xdr:colOff>
          <xdr:row>15</xdr:row>
          <xdr:rowOff>76200</xdr:rowOff>
        </xdr:from>
        <xdr:to>
          <xdr:col>4</xdr:col>
          <xdr:colOff>50800</xdr:colOff>
          <xdr:row>15</xdr:row>
          <xdr:rowOff>247650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88900</xdr:rowOff>
        </xdr:from>
        <xdr:to>
          <xdr:col>8</xdr:col>
          <xdr:colOff>228600</xdr:colOff>
          <xdr:row>15</xdr:row>
          <xdr:rowOff>260350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15</xdr:row>
          <xdr:rowOff>88900</xdr:rowOff>
        </xdr:from>
        <xdr:to>
          <xdr:col>8</xdr:col>
          <xdr:colOff>1022350</xdr:colOff>
          <xdr:row>15</xdr:row>
          <xdr:rowOff>260350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269875</xdr:colOff>
      <xdr:row>52</xdr:row>
      <xdr:rowOff>95250</xdr:rowOff>
    </xdr:from>
    <xdr:to>
      <xdr:col>7</xdr:col>
      <xdr:colOff>1584393</xdr:colOff>
      <xdr:row>56</xdr:row>
      <xdr:rowOff>152436</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a:stretch>
          <a:fillRect/>
        </a:stretch>
      </xdr:blipFill>
      <xdr:spPr>
        <a:xfrm>
          <a:off x="9464675" y="15449550"/>
          <a:ext cx="1314518" cy="6858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6.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0.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4.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18.x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2.x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2:J81"/>
  <sheetViews>
    <sheetView showGridLines="0" topLeftCell="A40" zoomScale="80" zoomScaleNormal="80" workbookViewId="0">
      <selection activeCell="C62" sqref="C62"/>
    </sheetView>
  </sheetViews>
  <sheetFormatPr baseColWidth="10" defaultColWidth="11.453125" defaultRowHeight="13.5" x14ac:dyDescent="0.35"/>
  <cols>
    <col min="1" max="1" width="4.54296875" style="3" customWidth="1"/>
    <col min="2" max="2" width="24.81640625" style="7" customWidth="1"/>
    <col min="3" max="3" width="20" style="3" customWidth="1"/>
    <col min="4" max="4" width="23.54296875" style="3" customWidth="1"/>
    <col min="5" max="5" width="26.453125" style="3" customWidth="1"/>
    <col min="6" max="6" width="6.54296875" style="3" customWidth="1"/>
    <col min="7" max="7" width="24.1796875" style="3" customWidth="1"/>
    <col min="8" max="8" width="27.453125" style="3" customWidth="1"/>
    <col min="9" max="9" width="32.81640625" style="3" customWidth="1"/>
    <col min="10" max="16384" width="11.453125" style="3"/>
  </cols>
  <sheetData>
    <row r="2" spans="2:9" ht="20.5" x14ac:dyDescent="0.35">
      <c r="B2" s="62" t="s">
        <v>0</v>
      </c>
      <c r="C2" s="62"/>
      <c r="D2" s="62"/>
      <c r="E2" s="62"/>
      <c r="F2" s="62"/>
      <c r="G2" s="62"/>
      <c r="H2" s="62"/>
      <c r="I2" s="62"/>
    </row>
    <row r="3" spans="2:9" ht="20.5" x14ac:dyDescent="0.35">
      <c r="B3" s="62" t="s">
        <v>52</v>
      </c>
      <c r="C3" s="62"/>
      <c r="D3" s="62"/>
      <c r="E3" s="62"/>
      <c r="F3" s="62"/>
      <c r="G3" s="62"/>
      <c r="H3" s="62"/>
      <c r="I3" s="62"/>
    </row>
    <row r="4" spans="2:9" ht="15.5" x14ac:dyDescent="0.35">
      <c r="B4" s="63" t="s">
        <v>54</v>
      </c>
      <c r="C4" s="63"/>
      <c r="D4" s="63"/>
      <c r="E4" s="63"/>
      <c r="F4" s="63"/>
      <c r="G4" s="63"/>
      <c r="H4" s="63"/>
      <c r="I4" s="63"/>
    </row>
    <row r="5" spans="2:9" x14ac:dyDescent="0.35">
      <c r="B5" s="5"/>
    </row>
    <row r="7" spans="2:9" ht="28.5" customHeight="1" x14ac:dyDescent="0.35">
      <c r="B7" s="64" t="s">
        <v>1</v>
      </c>
      <c r="C7" s="64"/>
      <c r="D7" s="64"/>
      <c r="E7" s="64"/>
      <c r="F7" s="64"/>
      <c r="G7" s="64"/>
      <c r="H7" s="64"/>
      <c r="I7" s="64"/>
    </row>
    <row r="8" spans="2:9" ht="24.75" customHeight="1" x14ac:dyDescent="0.35">
      <c r="B8" s="61" t="s">
        <v>2</v>
      </c>
      <c r="C8" s="61"/>
      <c r="D8" s="14">
        <v>46087</v>
      </c>
      <c r="E8" s="14"/>
      <c r="F8" s="14"/>
      <c r="G8" s="14"/>
      <c r="H8" s="14"/>
      <c r="I8" s="14"/>
    </row>
    <row r="9" spans="2:9" ht="24.75" customHeight="1" x14ac:dyDescent="0.35">
      <c r="B9" s="61" t="s">
        <v>3</v>
      </c>
      <c r="C9" s="61" t="s">
        <v>4</v>
      </c>
      <c r="D9" s="14" t="s">
        <v>72</v>
      </c>
      <c r="E9" s="14"/>
      <c r="F9" s="14"/>
      <c r="G9" s="14"/>
      <c r="H9" s="14"/>
      <c r="I9" s="14"/>
    </row>
    <row r="10" spans="2:9" ht="24.75" customHeight="1" x14ac:dyDescent="0.35">
      <c r="B10" s="61" t="s">
        <v>58</v>
      </c>
      <c r="C10" s="61" t="s">
        <v>5</v>
      </c>
      <c r="D10" s="14" t="s">
        <v>73</v>
      </c>
      <c r="E10" s="14"/>
      <c r="F10" s="14"/>
      <c r="G10" s="14"/>
      <c r="H10" s="14"/>
      <c r="I10" s="14"/>
    </row>
    <row r="11" spans="2:9" ht="24.75" customHeight="1" x14ac:dyDescent="0.35">
      <c r="B11" s="61" t="s">
        <v>6</v>
      </c>
      <c r="C11" s="61">
        <v>890800252</v>
      </c>
      <c r="D11" s="54">
        <v>900325475</v>
      </c>
      <c r="E11" s="14"/>
      <c r="F11" s="14"/>
      <c r="G11" s="14"/>
      <c r="H11" s="14"/>
      <c r="I11" s="14"/>
    </row>
    <row r="12" spans="2:9" ht="24.75" customHeight="1" x14ac:dyDescent="0.35">
      <c r="B12" s="61" t="s">
        <v>7</v>
      </c>
      <c r="C12" s="61" t="s">
        <v>8</v>
      </c>
      <c r="D12" s="14" t="s">
        <v>74</v>
      </c>
      <c r="E12" s="14"/>
      <c r="F12" s="14"/>
      <c r="G12" s="14"/>
      <c r="H12" s="14"/>
      <c r="I12" s="14"/>
    </row>
    <row r="13" spans="2:9" ht="24.75" customHeight="1" x14ac:dyDescent="0.35">
      <c r="B13" s="61" t="s">
        <v>61</v>
      </c>
      <c r="C13" s="61">
        <v>82401</v>
      </c>
      <c r="D13" s="53">
        <v>23554751</v>
      </c>
      <c r="E13" s="14"/>
      <c r="F13" s="14"/>
      <c r="G13" s="14"/>
      <c r="H13" s="14"/>
      <c r="I13" s="14"/>
    </row>
    <row r="14" spans="2:9" ht="24.75" customHeight="1" x14ac:dyDescent="0.35">
      <c r="B14" s="61" t="s">
        <v>9</v>
      </c>
      <c r="C14" s="61"/>
      <c r="D14" s="14" t="s">
        <v>82</v>
      </c>
      <c r="E14" s="14"/>
      <c r="F14" s="14"/>
      <c r="G14" s="14"/>
      <c r="H14" s="14"/>
      <c r="I14" s="14"/>
    </row>
    <row r="15" spans="2:9" ht="27" customHeight="1" x14ac:dyDescent="0.35">
      <c r="B15" s="61" t="s">
        <v>10</v>
      </c>
      <c r="C15" s="61"/>
      <c r="D15" s="14" t="s">
        <v>75</v>
      </c>
      <c r="E15" s="14"/>
      <c r="F15" s="14"/>
      <c r="G15" s="14"/>
      <c r="H15" s="14"/>
      <c r="I15" s="14"/>
    </row>
    <row r="16" spans="2:9" ht="30.75" customHeight="1" x14ac:dyDescent="0.35">
      <c r="B16" s="61" t="s">
        <v>60</v>
      </c>
      <c r="C16" s="61"/>
      <c r="D16" s="31">
        <v>9</v>
      </c>
      <c r="E16" s="10"/>
      <c r="F16" s="66" t="s">
        <v>68</v>
      </c>
      <c r="G16" s="66"/>
      <c r="H16" s="32" t="s">
        <v>65</v>
      </c>
      <c r="I16" s="33"/>
    </row>
    <row r="17" spans="2:9" ht="14.25" customHeight="1" x14ac:dyDescent="0.35">
      <c r="B17" s="12"/>
      <c r="C17" s="12"/>
      <c r="D17" s="13"/>
      <c r="E17" s="13"/>
      <c r="F17" s="13"/>
      <c r="G17" s="13"/>
      <c r="H17" s="13"/>
      <c r="I17" s="13"/>
    </row>
    <row r="18" spans="2:9" ht="28.5" customHeight="1" x14ac:dyDescent="0.35">
      <c r="B18" s="64" t="s">
        <v>11</v>
      </c>
      <c r="C18" s="64"/>
      <c r="D18" s="64"/>
      <c r="E18" s="64"/>
      <c r="F18" s="64"/>
      <c r="G18" s="64"/>
      <c r="H18" s="64"/>
      <c r="I18" s="64"/>
    </row>
    <row r="19" spans="2:9" ht="9.75" customHeight="1" x14ac:dyDescent="0.35"/>
    <row r="20" spans="2:9" x14ac:dyDescent="0.35">
      <c r="B20" s="8"/>
      <c r="C20" s="9"/>
      <c r="D20" s="9"/>
      <c r="E20" s="1"/>
    </row>
    <row r="21" spans="2:9" ht="15" customHeight="1" x14ac:dyDescent="0.35">
      <c r="B21" s="60" t="s">
        <v>33</v>
      </c>
      <c r="C21" s="60"/>
      <c r="D21" s="60"/>
      <c r="E21" s="60"/>
      <c r="F21" s="60"/>
      <c r="G21" s="60"/>
      <c r="H21" s="60"/>
      <c r="I21" s="60"/>
    </row>
    <row r="22" spans="2:9" x14ac:dyDescent="0.35">
      <c r="G22" s="8"/>
      <c r="H22" s="8"/>
      <c r="I22" s="8"/>
    </row>
    <row r="23" spans="2:9" ht="15" customHeight="1" x14ac:dyDescent="0.35">
      <c r="B23" s="22" t="s">
        <v>34</v>
      </c>
      <c r="C23" s="58"/>
      <c r="D23" s="58"/>
      <c r="E23" s="58"/>
      <c r="F23" s="58"/>
      <c r="G23" s="58"/>
      <c r="H23" s="58"/>
      <c r="I23" s="58"/>
    </row>
    <row r="24" spans="2:9" ht="15" customHeight="1" x14ac:dyDescent="0.35">
      <c r="B24" s="22" t="s">
        <v>35</v>
      </c>
      <c r="C24" s="58"/>
      <c r="D24" s="58"/>
      <c r="E24" s="58"/>
      <c r="F24" s="58"/>
      <c r="G24" s="58"/>
      <c r="H24" s="58"/>
      <c r="I24" s="58"/>
    </row>
    <row r="25" spans="2:9" ht="15" customHeight="1" x14ac:dyDescent="0.35">
      <c r="B25" s="22" t="s">
        <v>36</v>
      </c>
      <c r="C25" s="58"/>
      <c r="D25" s="58"/>
      <c r="E25" s="58"/>
      <c r="F25" s="58"/>
      <c r="G25" s="58"/>
      <c r="H25" s="58"/>
      <c r="I25" s="58"/>
    </row>
    <row r="26" spans="2:9" ht="15" customHeight="1" x14ac:dyDescent="0.35">
      <c r="B26" s="22" t="s">
        <v>37</v>
      </c>
      <c r="C26" s="58"/>
      <c r="D26" s="58"/>
      <c r="E26" s="58"/>
      <c r="F26" s="58"/>
      <c r="G26" s="58"/>
      <c r="H26" s="58"/>
      <c r="I26" s="58"/>
    </row>
    <row r="27" spans="2:9" x14ac:dyDescent="0.35">
      <c r="B27" s="1"/>
      <c r="C27" s="5"/>
      <c r="D27" s="5"/>
      <c r="G27" s="8"/>
      <c r="H27" s="8"/>
      <c r="I27" s="8"/>
    </row>
    <row r="28" spans="2:9" x14ac:dyDescent="0.35">
      <c r="B28" s="1"/>
      <c r="C28" s="5"/>
      <c r="D28" s="5"/>
      <c r="G28" s="8"/>
      <c r="H28" s="8"/>
      <c r="I28" s="8"/>
    </row>
    <row r="29" spans="2:9" s="16" customFormat="1" ht="15" customHeight="1" x14ac:dyDescent="0.35">
      <c r="B29" s="59" t="s">
        <v>38</v>
      </c>
      <c r="C29" s="59"/>
      <c r="D29" s="23"/>
      <c r="G29" s="17"/>
      <c r="H29" s="17"/>
      <c r="I29" s="17"/>
    </row>
    <row r="30" spans="2:9" s="16" customFormat="1" ht="7.5" customHeight="1" x14ac:dyDescent="0.35">
      <c r="B30" s="18"/>
    </row>
    <row r="31" spans="2:9" s="16" customFormat="1" ht="15.5" x14ac:dyDescent="0.35">
      <c r="B31" s="18" t="s">
        <v>39</v>
      </c>
      <c r="C31" s="19" t="s">
        <v>76</v>
      </c>
      <c r="D31" s="19"/>
      <c r="E31" s="19"/>
      <c r="F31" s="19"/>
      <c r="G31" s="20" t="s">
        <v>40</v>
      </c>
      <c r="H31" s="19"/>
      <c r="I31" s="19"/>
    </row>
    <row r="34" spans="2:10" ht="15" customHeight="1" x14ac:dyDescent="0.35">
      <c r="B34" s="60" t="s">
        <v>64</v>
      </c>
      <c r="C34" s="60"/>
      <c r="D34" s="60"/>
      <c r="E34" s="60"/>
      <c r="F34" s="60"/>
      <c r="G34" s="60"/>
      <c r="H34" s="60"/>
      <c r="I34" s="60"/>
    </row>
    <row r="36" spans="2:10" ht="38.25" customHeight="1" x14ac:dyDescent="0.35">
      <c r="B36" s="60" t="s">
        <v>69</v>
      </c>
      <c r="C36" s="60"/>
      <c r="D36" s="60"/>
      <c r="E36" s="60"/>
      <c r="F36" s="60"/>
      <c r="G36" s="60"/>
      <c r="H36" s="60"/>
      <c r="I36" s="60"/>
      <c r="J36" s="60"/>
    </row>
    <row r="38" spans="2:10" x14ac:dyDescent="0.35">
      <c r="D38" s="69" t="s">
        <v>12</v>
      </c>
      <c r="E38" s="70"/>
      <c r="F38" s="70"/>
      <c r="G38" s="71"/>
    </row>
    <row r="39" spans="2:10" ht="75" customHeight="1" x14ac:dyDescent="0.35">
      <c r="D39" s="24" t="s">
        <v>16</v>
      </c>
      <c r="E39" s="15" t="s">
        <v>14</v>
      </c>
      <c r="F39" s="72" t="s">
        <v>55</v>
      </c>
      <c r="G39" s="73"/>
    </row>
    <row r="40" spans="2:10" ht="30.5" customHeight="1" x14ac:dyDescent="0.35">
      <c r="D40" s="24" t="s">
        <v>18</v>
      </c>
      <c r="E40" s="42" t="s">
        <v>77</v>
      </c>
      <c r="F40" s="74" t="s">
        <v>78</v>
      </c>
      <c r="G40" s="75"/>
    </row>
    <row r="41" spans="2:10" x14ac:dyDescent="0.35">
      <c r="D41" s="24" t="s">
        <v>18</v>
      </c>
      <c r="E41" s="4"/>
      <c r="F41" s="67"/>
      <c r="G41" s="68"/>
    </row>
    <row r="42" spans="2:10" x14ac:dyDescent="0.35">
      <c r="D42" s="24" t="s">
        <v>18</v>
      </c>
      <c r="E42" s="4"/>
      <c r="F42" s="67"/>
      <c r="G42" s="68"/>
    </row>
    <row r="43" spans="2:10" x14ac:dyDescent="0.35">
      <c r="D43" s="24" t="s">
        <v>18</v>
      </c>
      <c r="E43" s="4"/>
      <c r="F43" s="67"/>
      <c r="G43" s="68"/>
    </row>
    <row r="44" spans="2:10" x14ac:dyDescent="0.35">
      <c r="D44" s="24" t="s">
        <v>18</v>
      </c>
      <c r="E44" s="4"/>
      <c r="F44" s="67"/>
      <c r="G44" s="68"/>
    </row>
    <row r="45" spans="2:10" x14ac:dyDescent="0.35">
      <c r="D45" s="24" t="s">
        <v>18</v>
      </c>
      <c r="E45" s="4"/>
      <c r="F45" s="67"/>
      <c r="G45" s="68"/>
    </row>
    <row r="48" spans="2:10" x14ac:dyDescent="0.35">
      <c r="B48" s="65" t="s">
        <v>63</v>
      </c>
      <c r="C48" s="65"/>
      <c r="D48" s="65"/>
      <c r="E48" s="65"/>
      <c r="G48" s="65" t="s">
        <v>63</v>
      </c>
      <c r="H48" s="65"/>
      <c r="I48" s="65"/>
      <c r="J48" s="65"/>
    </row>
    <row r="49" spans="2:10" ht="26" customHeight="1" x14ac:dyDescent="0.35">
      <c r="B49" s="24" t="s">
        <v>13</v>
      </c>
      <c r="C49" s="24" t="s">
        <v>14</v>
      </c>
      <c r="D49" s="24" t="s">
        <v>55</v>
      </c>
      <c r="E49" s="24" t="s">
        <v>15</v>
      </c>
      <c r="G49" s="24" t="s">
        <v>13</v>
      </c>
      <c r="H49" s="24" t="s">
        <v>14</v>
      </c>
      <c r="I49" s="24" t="s">
        <v>55</v>
      </c>
      <c r="J49" s="24" t="s">
        <v>15</v>
      </c>
    </row>
    <row r="50" spans="2:10" x14ac:dyDescent="0.35">
      <c r="B50" s="24" t="s">
        <v>106</v>
      </c>
      <c r="C50" s="46" t="s">
        <v>100</v>
      </c>
      <c r="D50" s="6" t="s">
        <v>79</v>
      </c>
      <c r="E50" s="46">
        <v>2324303303</v>
      </c>
      <c r="G50" s="24" t="s">
        <v>17</v>
      </c>
      <c r="H50" s="6"/>
      <c r="I50" s="6"/>
      <c r="J50" s="6"/>
    </row>
    <row r="51" spans="2:10" x14ac:dyDescent="0.35">
      <c r="B51" s="24" t="s">
        <v>107</v>
      </c>
      <c r="C51" s="55" t="s">
        <v>100</v>
      </c>
      <c r="D51" s="6" t="s">
        <v>79</v>
      </c>
      <c r="E51" s="46">
        <v>2324303304</v>
      </c>
      <c r="G51" s="24" t="s">
        <v>17</v>
      </c>
      <c r="H51" s="6"/>
      <c r="I51" s="6"/>
      <c r="J51" s="6"/>
    </row>
    <row r="52" spans="2:10" x14ac:dyDescent="0.35">
      <c r="B52" s="24" t="s">
        <v>108</v>
      </c>
      <c r="C52" s="55" t="s">
        <v>100</v>
      </c>
      <c r="D52" s="6" t="s">
        <v>79</v>
      </c>
      <c r="E52" s="46">
        <v>2324303305</v>
      </c>
      <c r="G52" s="24" t="s">
        <v>17</v>
      </c>
      <c r="H52" s="6"/>
      <c r="I52" s="6"/>
      <c r="J52" s="6"/>
    </row>
    <row r="53" spans="2:10" x14ac:dyDescent="0.35">
      <c r="B53" s="24" t="s">
        <v>109</v>
      </c>
      <c r="C53" s="55" t="s">
        <v>100</v>
      </c>
      <c r="D53" s="6" t="s">
        <v>79</v>
      </c>
      <c r="E53" s="46">
        <v>2324303307</v>
      </c>
      <c r="G53" s="24" t="s">
        <v>17</v>
      </c>
      <c r="H53" s="6"/>
      <c r="I53" s="6"/>
      <c r="J53" s="6"/>
    </row>
    <row r="54" spans="2:10" x14ac:dyDescent="0.35">
      <c r="B54" s="24" t="s">
        <v>110</v>
      </c>
      <c r="C54" s="55" t="s">
        <v>100</v>
      </c>
      <c r="D54" s="6" t="s">
        <v>79</v>
      </c>
      <c r="E54" s="46">
        <v>2324303308</v>
      </c>
      <c r="G54" s="24" t="s">
        <v>17</v>
      </c>
      <c r="H54" s="6"/>
      <c r="I54" s="6"/>
      <c r="J54" s="6"/>
    </row>
    <row r="55" spans="2:10" x14ac:dyDescent="0.35">
      <c r="B55" s="24" t="s">
        <v>111</v>
      </c>
      <c r="C55" s="55" t="s">
        <v>100</v>
      </c>
      <c r="D55" s="6" t="s">
        <v>79</v>
      </c>
      <c r="E55" s="46">
        <v>2324303314</v>
      </c>
      <c r="G55" s="24" t="s">
        <v>17</v>
      </c>
      <c r="H55" s="6"/>
      <c r="I55" s="6"/>
      <c r="J55" s="6"/>
    </row>
    <row r="56" spans="2:10" x14ac:dyDescent="0.35">
      <c r="B56" s="24" t="s">
        <v>112</v>
      </c>
      <c r="C56" s="55" t="s">
        <v>100</v>
      </c>
      <c r="D56" s="6" t="s">
        <v>79</v>
      </c>
      <c r="E56" s="46">
        <v>2324303315</v>
      </c>
      <c r="G56" s="24" t="s">
        <v>17</v>
      </c>
      <c r="H56" s="6"/>
      <c r="I56" s="6"/>
      <c r="J56" s="6"/>
    </row>
    <row r="57" spans="2:10" x14ac:dyDescent="0.35">
      <c r="B57" s="24" t="s">
        <v>113</v>
      </c>
      <c r="C57" s="55" t="s">
        <v>100</v>
      </c>
      <c r="D57" s="6" t="s">
        <v>79</v>
      </c>
      <c r="E57" s="46">
        <v>2324303316</v>
      </c>
      <c r="G57" s="24" t="s">
        <v>17</v>
      </c>
      <c r="H57" s="6"/>
      <c r="I57" s="6"/>
      <c r="J57" s="6"/>
    </row>
    <row r="58" spans="2:10" x14ac:dyDescent="0.35">
      <c r="B58" s="24" t="s">
        <v>114</v>
      </c>
      <c r="C58" s="55" t="s">
        <v>100</v>
      </c>
      <c r="D58" s="6" t="s">
        <v>79</v>
      </c>
      <c r="E58" s="46">
        <v>2324303319</v>
      </c>
      <c r="G58" s="24" t="s">
        <v>17</v>
      </c>
      <c r="H58" s="6"/>
      <c r="I58" s="6"/>
      <c r="J58" s="6"/>
    </row>
    <row r="59" spans="2:10" x14ac:dyDescent="0.35">
      <c r="B59" s="24" t="s">
        <v>17</v>
      </c>
      <c r="C59" s="6"/>
      <c r="D59" s="6"/>
      <c r="E59" s="6"/>
      <c r="G59" s="24" t="s">
        <v>17</v>
      </c>
      <c r="H59" s="6"/>
      <c r="I59" s="6"/>
      <c r="J59" s="6"/>
    </row>
    <row r="60" spans="2:10" x14ac:dyDescent="0.35">
      <c r="B60" s="24" t="s">
        <v>17</v>
      </c>
      <c r="C60" s="6"/>
      <c r="D60" s="6"/>
      <c r="E60" s="6"/>
      <c r="G60" s="24" t="s">
        <v>17</v>
      </c>
      <c r="H60" s="6"/>
      <c r="I60" s="6"/>
      <c r="J60" s="6"/>
    </row>
    <row r="61" spans="2:10" x14ac:dyDescent="0.35">
      <c r="B61" s="24" t="s">
        <v>17</v>
      </c>
      <c r="C61" s="6"/>
      <c r="D61" s="6"/>
      <c r="E61" s="6"/>
      <c r="G61" s="24" t="s">
        <v>17</v>
      </c>
      <c r="H61" s="6"/>
      <c r="I61" s="6"/>
      <c r="J61" s="6"/>
    </row>
    <row r="62" spans="2:10" x14ac:dyDescent="0.35">
      <c r="B62" s="24" t="s">
        <v>17</v>
      </c>
      <c r="C62" s="6"/>
      <c r="D62" s="6"/>
      <c r="E62" s="6"/>
      <c r="G62" s="24" t="s">
        <v>17</v>
      </c>
      <c r="H62" s="6"/>
      <c r="I62" s="6"/>
      <c r="J62" s="6"/>
    </row>
    <row r="63" spans="2:10" x14ac:dyDescent="0.35">
      <c r="B63" s="24" t="s">
        <v>17</v>
      </c>
      <c r="C63" s="6"/>
      <c r="D63" s="6"/>
      <c r="E63" s="6"/>
      <c r="G63" s="24" t="s">
        <v>17</v>
      </c>
      <c r="H63" s="6"/>
      <c r="I63" s="6"/>
      <c r="J63" s="6"/>
    </row>
    <row r="64" spans="2:10" x14ac:dyDescent="0.35">
      <c r="B64" s="24" t="s">
        <v>17</v>
      </c>
      <c r="C64" s="6"/>
      <c r="D64" s="6"/>
      <c r="E64" s="6"/>
      <c r="G64" s="24" t="s">
        <v>17</v>
      </c>
      <c r="H64" s="6"/>
      <c r="I64" s="6"/>
      <c r="J64" s="6"/>
    </row>
    <row r="65" spans="2:10" x14ac:dyDescent="0.35">
      <c r="B65" s="24" t="s">
        <v>17</v>
      </c>
      <c r="C65" s="6"/>
      <c r="D65" s="6"/>
      <c r="E65" s="6"/>
      <c r="G65" s="24" t="s">
        <v>17</v>
      </c>
      <c r="H65" s="6"/>
      <c r="I65" s="6"/>
      <c r="J65" s="6"/>
    </row>
    <row r="66" spans="2:10" x14ac:dyDescent="0.35">
      <c r="B66" s="24" t="s">
        <v>17</v>
      </c>
      <c r="C66" s="6"/>
      <c r="D66" s="6"/>
      <c r="E66" s="6"/>
      <c r="G66" s="24" t="s">
        <v>17</v>
      </c>
      <c r="H66" s="6"/>
      <c r="I66" s="6"/>
      <c r="J66" s="6"/>
    </row>
    <row r="67" spans="2:10" x14ac:dyDescent="0.35">
      <c r="B67" s="24" t="s">
        <v>17</v>
      </c>
      <c r="C67" s="6"/>
      <c r="D67" s="6"/>
      <c r="E67" s="6"/>
      <c r="G67" s="24" t="s">
        <v>17</v>
      </c>
      <c r="H67" s="6"/>
      <c r="I67" s="6"/>
      <c r="J67" s="6"/>
    </row>
    <row r="68" spans="2:10" x14ac:dyDescent="0.35">
      <c r="B68" s="24" t="s">
        <v>17</v>
      </c>
      <c r="C68" s="6"/>
      <c r="D68" s="6"/>
      <c r="E68" s="6"/>
      <c r="G68" s="24" t="s">
        <v>17</v>
      </c>
      <c r="H68" s="6"/>
      <c r="I68" s="6"/>
      <c r="J68" s="6"/>
    </row>
    <row r="69" spans="2:10" x14ac:dyDescent="0.35">
      <c r="B69" s="24" t="s">
        <v>17</v>
      </c>
      <c r="C69" s="6"/>
      <c r="D69" s="6"/>
      <c r="E69" s="6"/>
      <c r="G69" s="24" t="s">
        <v>17</v>
      </c>
      <c r="H69" s="6"/>
      <c r="I69" s="6"/>
      <c r="J69" s="6"/>
    </row>
    <row r="70" spans="2:10" x14ac:dyDescent="0.35">
      <c r="B70" s="24" t="s">
        <v>17</v>
      </c>
      <c r="C70" s="6"/>
      <c r="D70" s="6"/>
      <c r="E70" s="6"/>
      <c r="G70" s="24" t="s">
        <v>17</v>
      </c>
      <c r="H70" s="6"/>
      <c r="I70" s="6"/>
      <c r="J70" s="6"/>
    </row>
    <row r="71" spans="2:10" x14ac:dyDescent="0.35">
      <c r="B71" s="24" t="s">
        <v>17</v>
      </c>
      <c r="C71" s="6"/>
      <c r="D71" s="6"/>
      <c r="E71" s="6"/>
      <c r="G71" s="24" t="s">
        <v>17</v>
      </c>
      <c r="H71" s="6"/>
      <c r="I71" s="6"/>
      <c r="J71" s="6"/>
    </row>
    <row r="72" spans="2:10" x14ac:dyDescent="0.35">
      <c r="B72" s="24" t="s">
        <v>17</v>
      </c>
      <c r="C72" s="6"/>
      <c r="D72" s="6"/>
      <c r="E72" s="6"/>
      <c r="G72" s="24" t="s">
        <v>17</v>
      </c>
      <c r="H72" s="6"/>
      <c r="I72" s="6"/>
      <c r="J72" s="6"/>
    </row>
    <row r="73" spans="2:10" x14ac:dyDescent="0.35">
      <c r="B73" s="24" t="s">
        <v>17</v>
      </c>
      <c r="C73" s="6"/>
      <c r="D73" s="6"/>
      <c r="E73" s="6"/>
      <c r="G73" s="24" t="s">
        <v>17</v>
      </c>
      <c r="H73" s="6"/>
      <c r="I73" s="6"/>
      <c r="J73" s="6"/>
    </row>
    <row r="74" spans="2:10" x14ac:dyDescent="0.35">
      <c r="B74" s="24" t="s">
        <v>17</v>
      </c>
      <c r="C74" s="6"/>
      <c r="D74" s="6"/>
      <c r="E74" s="6"/>
      <c r="G74" s="24" t="s">
        <v>17</v>
      </c>
      <c r="H74" s="6"/>
      <c r="I74" s="6"/>
      <c r="J74" s="6"/>
    </row>
    <row r="75" spans="2:10" x14ac:dyDescent="0.35">
      <c r="B75" s="24" t="s">
        <v>17</v>
      </c>
      <c r="C75" s="6"/>
      <c r="D75" s="6"/>
      <c r="E75" s="6"/>
      <c r="G75" s="24" t="s">
        <v>17</v>
      </c>
      <c r="H75" s="6"/>
      <c r="I75" s="6"/>
      <c r="J75" s="6"/>
    </row>
    <row r="76" spans="2:10" x14ac:dyDescent="0.35">
      <c r="B76" s="24" t="s">
        <v>17</v>
      </c>
      <c r="C76" s="6"/>
      <c r="D76" s="6"/>
      <c r="E76" s="6"/>
      <c r="G76" s="24" t="s">
        <v>17</v>
      </c>
      <c r="H76" s="6"/>
      <c r="I76" s="6"/>
      <c r="J76" s="6"/>
    </row>
    <row r="77" spans="2:10" x14ac:dyDescent="0.35">
      <c r="B77" s="24" t="s">
        <v>17</v>
      </c>
      <c r="C77" s="6"/>
      <c r="D77" s="6"/>
      <c r="E77" s="6"/>
      <c r="G77" s="24" t="s">
        <v>17</v>
      </c>
      <c r="H77" s="6"/>
      <c r="I77" s="6"/>
      <c r="J77" s="6"/>
    </row>
    <row r="78" spans="2:10" x14ac:dyDescent="0.35">
      <c r="B78" s="24" t="s">
        <v>17</v>
      </c>
      <c r="C78" s="6"/>
      <c r="D78" s="6"/>
      <c r="E78" s="6"/>
      <c r="G78" s="24" t="s">
        <v>17</v>
      </c>
      <c r="H78" s="6"/>
      <c r="I78" s="6"/>
      <c r="J78" s="6"/>
    </row>
    <row r="79" spans="2:10" x14ac:dyDescent="0.35">
      <c r="B79" s="24" t="s">
        <v>17</v>
      </c>
      <c r="C79" s="6"/>
      <c r="D79" s="6"/>
      <c r="E79" s="6"/>
      <c r="G79" s="24" t="s">
        <v>17</v>
      </c>
      <c r="H79" s="6"/>
      <c r="I79" s="6"/>
      <c r="J79" s="6"/>
    </row>
    <row r="80" spans="2:10" x14ac:dyDescent="0.35">
      <c r="B80" s="24" t="s">
        <v>17</v>
      </c>
      <c r="C80" s="6"/>
      <c r="D80" s="6"/>
      <c r="E80" s="6"/>
      <c r="G80" s="24" t="s">
        <v>17</v>
      </c>
      <c r="H80" s="6"/>
      <c r="I80" s="6"/>
      <c r="J80" s="6"/>
    </row>
    <row r="81" spans="2:10" x14ac:dyDescent="0.35">
      <c r="B81" s="24" t="s">
        <v>17</v>
      </c>
      <c r="C81" s="6"/>
      <c r="D81" s="6"/>
      <c r="E81" s="6"/>
      <c r="G81" s="24" t="s">
        <v>17</v>
      </c>
      <c r="H81" s="6"/>
      <c r="I81" s="6"/>
      <c r="J81" s="6"/>
    </row>
  </sheetData>
  <mergeCells count="33">
    <mergeCell ref="B48:E48"/>
    <mergeCell ref="G48:J48"/>
    <mergeCell ref="F16:G16"/>
    <mergeCell ref="F41:G41"/>
    <mergeCell ref="F42:G42"/>
    <mergeCell ref="F43:G43"/>
    <mergeCell ref="F44:G44"/>
    <mergeCell ref="F45:G45"/>
    <mergeCell ref="B34:I34"/>
    <mergeCell ref="B36:J36"/>
    <mergeCell ref="D38:G38"/>
    <mergeCell ref="F39:G39"/>
    <mergeCell ref="F40:G40"/>
    <mergeCell ref="B16:C16"/>
    <mergeCell ref="B18:I18"/>
    <mergeCell ref="C25:I25"/>
    <mergeCell ref="B15:C15"/>
    <mergeCell ref="B2:I2"/>
    <mergeCell ref="B3:I3"/>
    <mergeCell ref="B4:I4"/>
    <mergeCell ref="B7:I7"/>
    <mergeCell ref="B8:C8"/>
    <mergeCell ref="B9:C9"/>
    <mergeCell ref="B10:C10"/>
    <mergeCell ref="B11:C11"/>
    <mergeCell ref="B12:C12"/>
    <mergeCell ref="B13:C13"/>
    <mergeCell ref="B14:C14"/>
    <mergeCell ref="C26:I26"/>
    <mergeCell ref="B29:C29"/>
    <mergeCell ref="C23:I23"/>
    <mergeCell ref="C24:I24"/>
    <mergeCell ref="B21:I21"/>
  </mergeCells>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7</xdr:col>
                    <xdr:colOff>31750</xdr:colOff>
                    <xdr:row>15</xdr:row>
                    <xdr:rowOff>95250</xdr:rowOff>
                  </from>
                  <to>
                    <xdr:col>7</xdr:col>
                    <xdr:colOff>228600</xdr:colOff>
                    <xdr:row>15</xdr:row>
                    <xdr:rowOff>266700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7</xdr:col>
                    <xdr:colOff>819150</xdr:colOff>
                    <xdr:row>15</xdr:row>
                    <xdr:rowOff>95250</xdr:rowOff>
                  </from>
                  <to>
                    <xdr:col>7</xdr:col>
                    <xdr:colOff>1022350</xdr:colOff>
                    <xdr:row>15</xdr:row>
                    <xdr:rowOff>266700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BACA-574B-4433-89F5-DFBBF126F41A}">
  <dimension ref="A2:AZ59"/>
  <sheetViews>
    <sheetView showGridLines="0" tabSelected="1" topLeftCell="A20" zoomScale="80" zoomScaleNormal="80" workbookViewId="0">
      <selection activeCell="B23" sqref="B23:E23"/>
    </sheetView>
  </sheetViews>
  <sheetFormatPr baseColWidth="10" defaultColWidth="11.453125" defaultRowHeight="13.5" x14ac:dyDescent="0.35"/>
  <cols>
    <col min="1" max="1" width="4.54296875" style="3" customWidth="1"/>
    <col min="2" max="2" width="23.453125" style="7" customWidth="1"/>
    <col min="3" max="3" width="20" style="3" customWidth="1"/>
    <col min="4" max="5" width="26.453125" style="3" customWidth="1"/>
    <col min="6" max="6" width="6.54296875" style="3" customWidth="1"/>
    <col min="7" max="7" width="24.1796875" style="3" customWidth="1"/>
    <col min="8" max="8" width="25.1796875" style="3" customWidth="1"/>
    <col min="9" max="9" width="29.453125" style="3" customWidth="1"/>
    <col min="10" max="10" width="22.453125" style="3" customWidth="1"/>
    <col min="11" max="16384" width="11.453125" style="3"/>
  </cols>
  <sheetData>
    <row r="2" spans="2:50" ht="20.5" x14ac:dyDescent="0.35">
      <c r="B2" s="62" t="s">
        <v>0</v>
      </c>
      <c r="C2" s="62"/>
      <c r="D2" s="62"/>
      <c r="E2" s="62"/>
      <c r="F2" s="62"/>
      <c r="G2" s="62"/>
      <c r="H2" s="62"/>
      <c r="I2" s="62"/>
    </row>
    <row r="3" spans="2:50" ht="20.5" x14ac:dyDescent="0.35">
      <c r="B3" s="62" t="s">
        <v>52</v>
      </c>
      <c r="C3" s="62"/>
      <c r="D3" s="62"/>
      <c r="E3" s="62"/>
      <c r="F3" s="62"/>
      <c r="G3" s="62"/>
      <c r="H3" s="62"/>
      <c r="I3" s="62"/>
    </row>
    <row r="4" spans="2:50" ht="15.5" x14ac:dyDescent="0.35">
      <c r="B4" s="63" t="s">
        <v>53</v>
      </c>
      <c r="C4" s="63"/>
      <c r="D4" s="63"/>
      <c r="E4" s="63"/>
      <c r="F4" s="63"/>
      <c r="G4" s="63"/>
      <c r="H4" s="63"/>
      <c r="I4" s="63"/>
    </row>
    <row r="5" spans="2:50" x14ac:dyDescent="0.35">
      <c r="B5" s="50"/>
    </row>
    <row r="7" spans="2:50" ht="28.5" customHeight="1" x14ac:dyDescent="0.35">
      <c r="B7" s="64" t="s">
        <v>1</v>
      </c>
      <c r="C7" s="64"/>
      <c r="D7" s="64"/>
      <c r="E7" s="64"/>
      <c r="F7" s="64"/>
      <c r="G7" s="64"/>
      <c r="H7" s="64"/>
      <c r="I7" s="64"/>
      <c r="J7" s="64"/>
    </row>
    <row r="8" spans="2:50" ht="24.75" customHeight="1" x14ac:dyDescent="0.35">
      <c r="B8" s="61" t="s">
        <v>2</v>
      </c>
      <c r="C8" s="61"/>
      <c r="D8" s="14">
        <v>46087</v>
      </c>
      <c r="E8" s="14"/>
      <c r="F8" s="14"/>
      <c r="G8" s="14"/>
      <c r="H8" s="14"/>
      <c r="I8" s="14"/>
      <c r="J8" s="14"/>
    </row>
    <row r="9" spans="2:50" ht="24.75" customHeight="1" x14ac:dyDescent="0.35">
      <c r="B9" s="61" t="s">
        <v>3</v>
      </c>
      <c r="C9" s="61" t="s">
        <v>4</v>
      </c>
      <c r="D9" s="41" t="s">
        <v>72</v>
      </c>
      <c r="E9" s="14"/>
      <c r="F9" s="14"/>
      <c r="G9" s="14"/>
      <c r="H9" s="14"/>
      <c r="I9" s="14"/>
      <c r="J9" s="14"/>
    </row>
    <row r="10" spans="2:50" ht="24.75" customHeight="1" x14ac:dyDescent="0.35">
      <c r="B10" s="61" t="s">
        <v>58</v>
      </c>
      <c r="C10" s="61" t="s">
        <v>5</v>
      </c>
      <c r="D10" s="41" t="s">
        <v>73</v>
      </c>
      <c r="E10" s="14"/>
      <c r="F10" s="14"/>
      <c r="G10" s="14"/>
      <c r="H10" s="14"/>
      <c r="I10" s="14"/>
      <c r="J10" s="14"/>
    </row>
    <row r="11" spans="2:50" ht="24.75" customHeight="1" x14ac:dyDescent="0.35">
      <c r="B11" s="61" t="s">
        <v>6</v>
      </c>
      <c r="C11" s="61">
        <v>890800252</v>
      </c>
      <c r="D11" s="41" t="s">
        <v>80</v>
      </c>
      <c r="E11" s="14"/>
      <c r="F11" s="14"/>
      <c r="G11" s="14"/>
      <c r="H11" s="14"/>
      <c r="I11" s="14"/>
      <c r="J11" s="14"/>
    </row>
    <row r="12" spans="2:50" ht="24.75" customHeight="1" x14ac:dyDescent="0.35">
      <c r="B12" s="61" t="s">
        <v>7</v>
      </c>
      <c r="C12" s="61" t="s">
        <v>8</v>
      </c>
      <c r="D12" s="41" t="s">
        <v>74</v>
      </c>
      <c r="E12" s="14"/>
      <c r="F12" s="14"/>
      <c r="G12" s="14"/>
      <c r="H12" s="14"/>
      <c r="I12" s="14"/>
      <c r="J12" s="14"/>
    </row>
    <row r="13" spans="2:50" ht="24.75" customHeight="1" x14ac:dyDescent="0.35">
      <c r="B13" s="61" t="s">
        <v>61</v>
      </c>
      <c r="C13" s="61">
        <v>82401</v>
      </c>
      <c r="D13" s="41" t="s">
        <v>81</v>
      </c>
      <c r="E13" s="14"/>
      <c r="F13" s="14"/>
      <c r="G13" s="14"/>
      <c r="H13" s="14"/>
      <c r="I13" s="14"/>
      <c r="J13" s="14"/>
    </row>
    <row r="14" spans="2:50" ht="24.75" customHeight="1" x14ac:dyDescent="0.35">
      <c r="B14" s="61" t="s">
        <v>9</v>
      </c>
      <c r="C14" s="61"/>
      <c r="D14" s="41" t="s">
        <v>82</v>
      </c>
      <c r="E14" s="14"/>
      <c r="F14" s="14"/>
      <c r="G14" s="14"/>
      <c r="H14" s="14"/>
      <c r="I14" s="14"/>
      <c r="J14" s="14"/>
    </row>
    <row r="15" spans="2:50" ht="24.75" customHeight="1" x14ac:dyDescent="0.35">
      <c r="B15" s="61" t="s">
        <v>10</v>
      </c>
      <c r="C15" s="61"/>
      <c r="D15" s="41" t="s">
        <v>75</v>
      </c>
      <c r="E15" s="14"/>
      <c r="F15" s="14"/>
      <c r="G15" s="14"/>
      <c r="H15" s="14"/>
      <c r="I15" s="14"/>
      <c r="J15" s="14"/>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2:50" ht="27" customHeight="1" x14ac:dyDescent="0.35">
      <c r="B16" s="61" t="s">
        <v>59</v>
      </c>
      <c r="C16" s="61"/>
      <c r="D16" s="101" t="s">
        <v>66</v>
      </c>
      <c r="E16" s="101"/>
      <c r="F16" s="13"/>
      <c r="G16" s="61" t="s">
        <v>67</v>
      </c>
      <c r="H16" s="61"/>
      <c r="I16" s="34" t="s">
        <v>65</v>
      </c>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4.25" customHeight="1" x14ac:dyDescent="0.35">
      <c r="B17" s="48"/>
      <c r="C17" s="48"/>
      <c r="D17" s="13"/>
      <c r="E17" s="13"/>
      <c r="F17" s="13"/>
      <c r="G17" s="13"/>
      <c r="H17" s="13"/>
      <c r="I17" s="1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28.5" customHeight="1" x14ac:dyDescent="0.35">
      <c r="B18" s="64" t="s">
        <v>11</v>
      </c>
      <c r="C18" s="64"/>
      <c r="D18" s="64"/>
      <c r="E18" s="64"/>
      <c r="F18" s="64"/>
      <c r="G18" s="64"/>
      <c r="H18" s="64"/>
      <c r="I18" s="64"/>
      <c r="J18" s="64"/>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9.75" customHeight="1" x14ac:dyDescent="0.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37.5" customHeight="1" x14ac:dyDescent="0.35">
      <c r="B20" s="60" t="s">
        <v>62</v>
      </c>
      <c r="C20" s="60"/>
      <c r="D20" s="60"/>
      <c r="E20" s="60"/>
      <c r="F20" s="60"/>
      <c r="G20" s="60"/>
      <c r="H20" s="60"/>
      <c r="I20" s="60"/>
      <c r="J20" s="6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9.75" customHeight="1" x14ac:dyDescent="0.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9.75" customHeight="1" x14ac:dyDescent="0.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27" customHeight="1" x14ac:dyDescent="0.35">
      <c r="B23" s="65" t="s">
        <v>101</v>
      </c>
      <c r="C23" s="65"/>
      <c r="D23" s="65"/>
      <c r="E23" s="65"/>
      <c r="G23" s="65" t="s">
        <v>12</v>
      </c>
      <c r="H23" s="65"/>
      <c r="I23" s="65"/>
      <c r="J23" s="6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30" customHeight="1" x14ac:dyDescent="0.35">
      <c r="B24" s="51" t="s">
        <v>13</v>
      </c>
      <c r="C24" s="51" t="s">
        <v>14</v>
      </c>
      <c r="D24" s="51" t="s">
        <v>55</v>
      </c>
      <c r="E24" s="51" t="s">
        <v>15</v>
      </c>
      <c r="F24" s="50"/>
      <c r="G24" s="29" t="s">
        <v>16</v>
      </c>
      <c r="H24" s="30" t="s">
        <v>14</v>
      </c>
      <c r="I24" s="85" t="s">
        <v>55</v>
      </c>
      <c r="J24" s="8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34.5" customHeight="1" x14ac:dyDescent="0.35">
      <c r="A25" s="10"/>
      <c r="B25" s="51" t="s">
        <v>70</v>
      </c>
      <c r="C25" s="46" t="s">
        <v>85</v>
      </c>
      <c r="D25" s="46" t="s">
        <v>86</v>
      </c>
      <c r="E25" s="46">
        <v>10196232</v>
      </c>
      <c r="G25" s="26" t="s">
        <v>41</v>
      </c>
      <c r="H25" s="56" t="s">
        <v>87</v>
      </c>
      <c r="I25" s="102" t="s">
        <v>88</v>
      </c>
      <c r="J25" s="102"/>
      <c r="K25" s="35"/>
      <c r="L25" s="35"/>
      <c r="M25" s="35"/>
      <c r="N25" s="35"/>
      <c r="O25" s="35"/>
      <c r="P25" s="35"/>
      <c r="Q25" s="35"/>
      <c r="R25" s="35"/>
      <c r="S25" s="35"/>
      <c r="T25" s="35" t="str">
        <f t="shared" ref="T25:T34" si="0">IF(C25="","",CONCATENATE(B25&amp;" - "&amp;C$24&amp;": "&amp;C25&amp;" - "&amp;D$24&amp;": "&amp;D25&amp;" - "&amp;E$24&amp;": "&amp;E25))</f>
        <v>Medidor Principal Activa Reactiva - Marca: METCOM - Tipo, Modelo o Referencia: MCS301-CE42C-300ER - Serie : 10196232</v>
      </c>
      <c r="U25" s="35"/>
      <c r="V25" s="35"/>
      <c r="W25" s="35"/>
      <c r="X25" s="35"/>
      <c r="Y25" s="35" t="str">
        <f>IF(H25="","",CONCATENATE(G25&amp;" - "&amp;H$24&amp;": "&amp;H25&amp;" - "&amp;I$24&amp;": "&amp;I25&amp;" - "&amp;H$30&amp;": "&amp;H31&amp;" - "&amp;I$30&amp;": "&amp;I31))</f>
        <v xml:space="preserve">Cables para señales de tension  - Marca: CENTELSA - Tipo, Modelo o Referencia: CABLE - Longitud:  - Calibre: </v>
      </c>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34.5" customHeight="1" x14ac:dyDescent="0.35">
      <c r="A26" s="10"/>
      <c r="B26" s="51"/>
      <c r="C26" s="46"/>
      <c r="D26" s="46"/>
      <c r="E26" s="46"/>
      <c r="G26" s="26" t="s">
        <v>42</v>
      </c>
      <c r="H26" s="42" t="s">
        <v>87</v>
      </c>
      <c r="I26" s="95" t="s">
        <v>88</v>
      </c>
      <c r="J26" s="95"/>
      <c r="K26" s="35"/>
      <c r="L26" s="35"/>
      <c r="M26" s="35"/>
      <c r="N26" s="35"/>
      <c r="O26" s="35"/>
      <c r="P26" s="35"/>
      <c r="Q26" s="35"/>
      <c r="R26" s="35"/>
      <c r="S26" s="35"/>
      <c r="T26" s="35" t="str">
        <f t="shared" si="0"/>
        <v/>
      </c>
      <c r="U26" s="35"/>
      <c r="V26" s="35"/>
      <c r="W26" s="35"/>
      <c r="X26" s="35"/>
      <c r="Y26" s="35" t="str">
        <f>IF(H26="","",CONCATENATE(G26&amp;" - "&amp;H$24&amp;": "&amp;H26&amp;" - "&amp;I$24&amp;": "&amp;I26&amp;" - "&amp;H$30&amp;": "&amp;H32&amp;" - "&amp;I$30&amp;": "&amp;I32))</f>
        <v>Cables para señales de corriente - Marca: CENTELSA - Tipo, Modelo o Referencia: CABLE - Longitud: 4 m - Calibre: 12</v>
      </c>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34.5" customHeight="1" x14ac:dyDescent="0.35">
      <c r="A27" s="10"/>
      <c r="B27" s="51" t="s">
        <v>71</v>
      </c>
      <c r="C27" s="46"/>
      <c r="D27" s="46"/>
      <c r="E27" s="46"/>
      <c r="G27" s="26" t="s">
        <v>44</v>
      </c>
      <c r="H27" s="42" t="s">
        <v>77</v>
      </c>
      <c r="I27" s="95" t="s">
        <v>96</v>
      </c>
      <c r="J27" s="95"/>
      <c r="K27" s="35"/>
      <c r="L27" s="35"/>
      <c r="M27" s="35"/>
      <c r="N27" s="35"/>
      <c r="O27" s="35"/>
      <c r="P27" s="35"/>
      <c r="Q27" s="35"/>
      <c r="R27" s="35"/>
      <c r="S27" s="35"/>
      <c r="T27" s="35" t="str">
        <f t="shared" si="0"/>
        <v/>
      </c>
      <c r="U27" s="35"/>
      <c r="V27" s="35"/>
      <c r="W27" s="35"/>
      <c r="X27" s="35"/>
      <c r="Y27" s="35" t="str">
        <f>IF(H27="","",CONCATENATE(G27&amp;" - "&amp;H$24&amp;": "&amp;H27&amp;" - "&amp;I$24&amp;": "&amp;I27))</f>
        <v>Gabinete - Marca: UMI - Tipo, Modelo o Referencia: INT/TAB MDD CRD 500A 220V 220 080 070 OP 1188</v>
      </c>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34.5" customHeight="1" x14ac:dyDescent="0.35">
      <c r="A28" s="10"/>
      <c r="B28" s="51"/>
      <c r="C28" s="46"/>
      <c r="D28" s="46"/>
      <c r="E28" s="46"/>
      <c r="G28" s="26" t="s">
        <v>47</v>
      </c>
      <c r="H28" s="42"/>
      <c r="I28" s="95"/>
      <c r="J28" s="95"/>
      <c r="K28" s="35"/>
      <c r="L28" s="35"/>
      <c r="M28" s="35"/>
      <c r="N28" s="35"/>
      <c r="O28" s="35"/>
      <c r="P28" s="35"/>
      <c r="Q28" s="35"/>
      <c r="R28" s="35"/>
      <c r="S28" s="35"/>
      <c r="T28" s="35" t="str">
        <f t="shared" si="0"/>
        <v/>
      </c>
      <c r="U28" s="35"/>
      <c r="V28" s="35"/>
      <c r="W28" s="35"/>
      <c r="X28" s="35"/>
      <c r="Y28" s="35" t="str">
        <f>IF(H28="","",CONCATENATE(G28&amp;" - "&amp;H$24&amp;": "&amp;H28&amp;" - "&amp;I$24&amp;": "&amp;I28))</f>
        <v/>
      </c>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34.5" customHeight="1" x14ac:dyDescent="0.35">
      <c r="A29" s="10"/>
      <c r="B29" s="51" t="s">
        <v>43</v>
      </c>
      <c r="C29" s="46" t="s">
        <v>83</v>
      </c>
      <c r="D29" s="46" t="s">
        <v>84</v>
      </c>
      <c r="E29" s="46">
        <v>10909611</v>
      </c>
      <c r="H29" s="50"/>
      <c r="I29" s="50"/>
      <c r="J29" s="43"/>
      <c r="K29" s="35"/>
      <c r="L29" s="35"/>
      <c r="M29" s="35"/>
      <c r="N29" s="35"/>
      <c r="O29" s="35"/>
      <c r="P29" s="35"/>
      <c r="Q29" s="35"/>
      <c r="R29" s="35"/>
      <c r="S29" s="35"/>
      <c r="T29" s="35" t="str">
        <f t="shared" si="0"/>
        <v>TC 1 - Marca: BLOX - Tipo, Modelo o Referencia: HS600 (VENTANA) - Serie : 10909611</v>
      </c>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34.5" customHeight="1" x14ac:dyDescent="0.35">
      <c r="A30" s="10"/>
      <c r="B30" s="51" t="s">
        <v>45</v>
      </c>
      <c r="C30" s="46" t="s">
        <v>83</v>
      </c>
      <c r="D30" s="46" t="s">
        <v>84</v>
      </c>
      <c r="E30" s="46">
        <v>10909618</v>
      </c>
      <c r="G30" s="51" t="s">
        <v>16</v>
      </c>
      <c r="H30" s="15" t="s">
        <v>56</v>
      </c>
      <c r="I30" s="85" t="s">
        <v>57</v>
      </c>
      <c r="J30" s="85"/>
      <c r="K30" s="35"/>
      <c r="L30" s="35"/>
      <c r="M30" s="35"/>
      <c r="N30" s="35"/>
      <c r="O30" s="35"/>
      <c r="P30" s="35"/>
      <c r="Q30" s="35"/>
      <c r="R30" s="35"/>
      <c r="S30" s="35"/>
      <c r="T30" s="35" t="str">
        <f t="shared" si="0"/>
        <v>TC 2 - Marca: BLOX - Tipo, Modelo o Referencia: HS600 (VENTANA) - Serie : 10909618</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34.5" customHeight="1" x14ac:dyDescent="0.35">
      <c r="B31" s="51" t="s">
        <v>46</v>
      </c>
      <c r="C31" s="46" t="s">
        <v>83</v>
      </c>
      <c r="D31" s="46" t="s">
        <v>84</v>
      </c>
      <c r="E31" s="46">
        <v>10909613</v>
      </c>
      <c r="G31" s="26" t="s">
        <v>41</v>
      </c>
      <c r="H31" s="42"/>
      <c r="I31" s="95"/>
      <c r="J31" s="95"/>
      <c r="K31" s="35"/>
      <c r="L31" s="35"/>
      <c r="M31" s="35"/>
      <c r="N31" s="35"/>
      <c r="O31" s="35"/>
      <c r="P31" s="35"/>
      <c r="Q31" s="35"/>
      <c r="R31" s="35"/>
      <c r="S31" s="35"/>
      <c r="T31" s="35" t="str">
        <f t="shared" si="0"/>
        <v>TC 3 - Marca: BLOX - Tipo, Modelo o Referencia: HS600 (VENTANA) - Serie : 10909613</v>
      </c>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34.5" customHeight="1" x14ac:dyDescent="0.35">
      <c r="B32" s="51" t="s">
        <v>48</v>
      </c>
      <c r="C32" s="46"/>
      <c r="D32" s="46"/>
      <c r="E32" s="46"/>
      <c r="G32" s="26" t="s">
        <v>42</v>
      </c>
      <c r="H32" s="42" t="s">
        <v>90</v>
      </c>
      <c r="I32" s="95" t="s">
        <v>89</v>
      </c>
      <c r="J32" s="95"/>
      <c r="K32" s="35"/>
      <c r="L32" s="35"/>
      <c r="M32" s="35"/>
      <c r="N32" s="35"/>
      <c r="O32" s="35"/>
      <c r="P32" s="35"/>
      <c r="Q32" s="35"/>
      <c r="R32" s="35"/>
      <c r="S32" s="35"/>
      <c r="T32" s="35" t="str">
        <f t="shared" si="0"/>
        <v/>
      </c>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2" ht="34.5" customHeight="1" x14ac:dyDescent="0.35">
      <c r="B33" s="51" t="s">
        <v>49</v>
      </c>
      <c r="C33" s="45"/>
      <c r="D33" s="45"/>
      <c r="E33" s="46"/>
      <c r="J33" s="27"/>
      <c r="K33" s="35"/>
      <c r="L33" s="35"/>
      <c r="M33" s="35"/>
      <c r="N33" s="35"/>
      <c r="O33" s="35"/>
      <c r="P33" s="35"/>
      <c r="Q33" s="35"/>
      <c r="R33" s="35"/>
      <c r="S33" s="35"/>
      <c r="T33" s="35" t="str">
        <f t="shared" si="0"/>
        <v/>
      </c>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2" ht="34.5" customHeight="1" x14ac:dyDescent="0.35">
      <c r="B34" s="51" t="s">
        <v>50</v>
      </c>
      <c r="C34" s="45"/>
      <c r="D34" s="45"/>
      <c r="E34" s="2"/>
      <c r="G34" s="51" t="s">
        <v>51</v>
      </c>
      <c r="H34" s="96"/>
      <c r="I34" s="97"/>
      <c r="J34" s="97"/>
      <c r="K34" s="35"/>
      <c r="L34" s="35"/>
      <c r="M34" s="35"/>
      <c r="N34" s="35"/>
      <c r="O34" s="35"/>
      <c r="P34" s="35"/>
      <c r="Q34" s="35"/>
      <c r="R34" s="35"/>
      <c r="S34" s="35"/>
      <c r="T34" s="35" t="str">
        <f t="shared" si="0"/>
        <v/>
      </c>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2" x14ac:dyDescent="0.35">
      <c r="B35" s="8"/>
      <c r="C35" s="8"/>
      <c r="D35" s="8"/>
      <c r="E35" s="8"/>
      <c r="J35" s="27"/>
      <c r="K35" s="35"/>
      <c r="L35" s="35"/>
      <c r="M35" s="35"/>
      <c r="N35" s="35"/>
      <c r="O35" s="35"/>
      <c r="P35" s="35"/>
      <c r="Q35" s="35"/>
      <c r="R35" s="35"/>
      <c r="S35" s="35"/>
      <c r="T35" s="35" t="str">
        <f>CONCATENATE(T25&amp;"     "&amp;T26&amp;"     "&amp;T27&amp;"     "&amp;T28&amp;"     "&amp;T29&amp;"     "&amp;T30&amp;"     "&amp;T31&amp;"     "&amp;T32&amp;"     "&amp;T33&amp;"     "&amp;T34)</f>
        <v xml:space="preserve">Medidor Principal Activa Reactiva - Marca: METCOM - Tipo, Modelo o Referencia: MCS301-CE42C-300ER - Serie : 10196232                    TC 1 - Marca: BLOX - Tipo, Modelo o Referencia: HS600 (VENTANA) - Serie : 10909611     TC 2 - Marca: BLOX - Tipo, Modelo o Referencia: HS600 (VENTANA) - Serie : 10909618     TC 3 - Marca: BLOX - Tipo, Modelo o Referencia: HS600 (VENTANA) - Serie : 10909613               </v>
      </c>
      <c r="U35" s="35"/>
      <c r="V35" s="35"/>
      <c r="W35" s="35" t="str">
        <f t="shared" ref="W35:X35" si="1">CONCATENATE(W25&amp;"     "&amp;W26&amp;"     "&amp;W27&amp;"     "&amp;W28&amp;"     "&amp;W29&amp;"     "&amp;W30&amp;"     "&amp;W31&amp;"     "&amp;W32&amp;"     "&amp;W33&amp;"     "&amp;W34)</f>
        <v xml:space="preserve">                                             </v>
      </c>
      <c r="X35" s="35" t="str">
        <f t="shared" si="1"/>
        <v xml:space="preserve">                                             </v>
      </c>
      <c r="Y35" s="35" t="str">
        <f>CONCATENATE(Y25&amp;"     "&amp;Y26&amp;"     "&amp;Y27&amp;"     "&amp;Y28&amp;"     "&amp;Y29&amp;"     "&amp;Y30&amp;"     "&amp;Y31&amp;"     "&amp;Y32&amp;"     "&amp;Y33&amp;"     "&amp;Y34)</f>
        <v xml:space="preserve">Cables para señales de tension  - Marca: CENTELSA - Tipo, Modelo o Referencia: CABLE - Longitud:  - Calibre:      Cables para señales de corriente - Marca: CENTELSA - Tipo, Modelo o Referencia: CABLE - Longitud: 4 m - Calibre: 12     Gabinete - Marca: UMI - Tipo, Modelo o Referencia: INT/TAB MDD CRD 500A 220V 220 080 070 OP 1188                                   </v>
      </c>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row>
    <row r="36" spans="1:52" x14ac:dyDescent="0.35">
      <c r="B36" s="8"/>
      <c r="C36" s="9"/>
      <c r="D36" s="9"/>
      <c r="E36" s="1"/>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spans="1:52" x14ac:dyDescent="0.35">
      <c r="B37" s="60" t="s">
        <v>19</v>
      </c>
      <c r="C37" s="60"/>
      <c r="D37" s="60"/>
      <c r="E37" s="60"/>
      <c r="F37" s="60"/>
      <c r="G37" s="60"/>
      <c r="H37" s="60"/>
      <c r="I37" s="60"/>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row>
    <row r="38" spans="1:52" x14ac:dyDescent="0.35">
      <c r="B38" s="48"/>
      <c r="C38" s="48"/>
      <c r="D38" s="48"/>
      <c r="E38" s="48"/>
      <c r="F38" s="48"/>
      <c r="G38" s="48"/>
      <c r="H38" s="48"/>
      <c r="I38" s="48"/>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row>
    <row r="39" spans="1:52" s="7" customFormat="1" ht="55.5" customHeight="1" x14ac:dyDescent="0.35">
      <c r="B39" s="98" t="s">
        <v>20</v>
      </c>
      <c r="C39" s="98"/>
      <c r="D39" s="52" t="s">
        <v>21</v>
      </c>
      <c r="E39" s="52" t="s">
        <v>22</v>
      </c>
      <c r="F39" s="1"/>
      <c r="G39" s="99" t="s">
        <v>23</v>
      </c>
      <c r="H39" s="100"/>
      <c r="I39" s="100"/>
      <c r="J39" s="100"/>
      <c r="K39" s="38"/>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row>
    <row r="40" spans="1:52" ht="27" customHeight="1" x14ac:dyDescent="0.35">
      <c r="B40" s="85" t="s">
        <v>24</v>
      </c>
      <c r="C40" s="85"/>
      <c r="D40" s="2"/>
      <c r="E40" s="21"/>
      <c r="F40" s="11"/>
      <c r="G40" s="49"/>
      <c r="H40" s="58"/>
      <c r="I40" s="58"/>
      <c r="J40" s="58"/>
      <c r="K40" s="39"/>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row>
    <row r="41" spans="1:52" ht="27" customHeight="1" x14ac:dyDescent="0.35">
      <c r="A41" s="50"/>
      <c r="B41" s="85" t="s">
        <v>25</v>
      </c>
      <c r="C41" s="85"/>
      <c r="D41" s="2"/>
      <c r="E41" s="21"/>
      <c r="G41" s="49" t="s">
        <v>26</v>
      </c>
      <c r="H41" s="58"/>
      <c r="I41" s="58"/>
      <c r="J41" s="58"/>
      <c r="K41" s="39"/>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spans="1:52" ht="23.25" customHeight="1" x14ac:dyDescent="0.35">
      <c r="A42" s="7"/>
      <c r="B42" s="85" t="s">
        <v>27</v>
      </c>
      <c r="C42" s="85"/>
      <c r="D42" s="2"/>
      <c r="E42" s="21"/>
      <c r="G42" s="49" t="s">
        <v>28</v>
      </c>
      <c r="H42" s="58"/>
      <c r="I42" s="58"/>
      <c r="J42" s="58"/>
      <c r="K42" s="39"/>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spans="1:52" ht="23.25" customHeight="1" x14ac:dyDescent="0.35">
      <c r="B43" s="85" t="s">
        <v>29</v>
      </c>
      <c r="C43" s="85"/>
      <c r="D43" s="2"/>
      <c r="E43" s="21"/>
      <c r="H43" s="28"/>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row>
    <row r="44" spans="1:52" ht="23.25" customHeight="1" x14ac:dyDescent="0.35">
      <c r="B44" s="85" t="s">
        <v>30</v>
      </c>
      <c r="C44" s="85"/>
      <c r="D44" s="2"/>
      <c r="E44" s="21"/>
      <c r="G44" s="86" t="s">
        <v>31</v>
      </c>
      <c r="H44" s="87"/>
      <c r="I44" s="87"/>
      <c r="J44" s="88"/>
      <c r="K44" s="40"/>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row>
    <row r="45" spans="1:52" ht="23.25" customHeight="1" x14ac:dyDescent="0.35">
      <c r="B45" s="85" t="s">
        <v>32</v>
      </c>
      <c r="C45" s="85"/>
      <c r="D45" s="2"/>
      <c r="E45" s="21"/>
      <c r="G45" s="89"/>
      <c r="H45" s="90"/>
      <c r="I45" s="90"/>
      <c r="J45" s="91"/>
      <c r="K45" s="40"/>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row>
    <row r="46" spans="1:52" x14ac:dyDescent="0.35">
      <c r="G46" s="8"/>
      <c r="H46" s="8"/>
      <c r="I46" s="8"/>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row>
    <row r="47" spans="1:52" x14ac:dyDescent="0.35">
      <c r="B47" s="60" t="s">
        <v>33</v>
      </c>
      <c r="C47" s="60"/>
      <c r="D47" s="60"/>
      <c r="E47" s="60"/>
      <c r="F47" s="60"/>
      <c r="G47" s="60"/>
      <c r="H47" s="60"/>
      <c r="I47" s="60"/>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row>
    <row r="48" spans="1:52" x14ac:dyDescent="0.35">
      <c r="G48" s="8"/>
      <c r="H48" s="8"/>
      <c r="I48" s="8"/>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row>
    <row r="49" spans="2:52" x14ac:dyDescent="0.35">
      <c r="B49" s="49" t="s">
        <v>34</v>
      </c>
      <c r="C49" s="92"/>
      <c r="D49" s="93"/>
      <c r="E49" s="93"/>
      <c r="F49" s="93"/>
      <c r="G49" s="93"/>
      <c r="H49" s="93"/>
      <c r="I49" s="93"/>
      <c r="J49" s="9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row>
    <row r="50" spans="2:52" x14ac:dyDescent="0.35">
      <c r="B50" s="49" t="s">
        <v>35</v>
      </c>
      <c r="C50" s="76"/>
      <c r="D50" s="77"/>
      <c r="E50" s="77"/>
      <c r="F50" s="77"/>
      <c r="G50" s="77"/>
      <c r="H50" s="77"/>
      <c r="I50" s="77"/>
      <c r="J50" s="78"/>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row>
    <row r="51" spans="2:52" x14ac:dyDescent="0.35">
      <c r="B51" s="49" t="s">
        <v>36</v>
      </c>
      <c r="C51" s="79"/>
      <c r="D51" s="80"/>
      <c r="E51" s="80"/>
      <c r="F51" s="80"/>
      <c r="G51" s="80"/>
      <c r="H51" s="80"/>
      <c r="I51" s="80"/>
      <c r="J51" s="81"/>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2:52" x14ac:dyDescent="0.35">
      <c r="B52" s="49" t="s">
        <v>37</v>
      </c>
      <c r="C52" s="82"/>
      <c r="D52" s="83"/>
      <c r="E52" s="83"/>
      <c r="F52" s="83"/>
      <c r="G52" s="83"/>
      <c r="H52" s="83"/>
      <c r="I52" s="83"/>
      <c r="J52" s="84"/>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row>
    <row r="53" spans="2:52" x14ac:dyDescent="0.35">
      <c r="G53" s="8"/>
      <c r="H53" s="8"/>
      <c r="I53" s="8"/>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row>
    <row r="54" spans="2:52" x14ac:dyDescent="0.35">
      <c r="G54" s="8"/>
      <c r="H54" s="8"/>
      <c r="I54" s="8"/>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row>
    <row r="55" spans="2:52" s="16" customFormat="1" ht="15" customHeight="1" x14ac:dyDescent="0.35">
      <c r="B55" s="59" t="s">
        <v>38</v>
      </c>
      <c r="C55" s="59"/>
      <c r="D55" s="47"/>
      <c r="G55" s="17"/>
      <c r="H55" s="17"/>
      <c r="I55" s="1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spans="2:52" s="16" customFormat="1" ht="7.5" customHeight="1" x14ac:dyDescent="0.35">
      <c r="B56" s="18"/>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2:52" s="16" customFormat="1" ht="15.5" x14ac:dyDescent="0.35">
      <c r="B57" s="18" t="s">
        <v>39</v>
      </c>
      <c r="C57" s="19" t="s">
        <v>76</v>
      </c>
      <c r="D57" s="19"/>
      <c r="E57" s="19"/>
      <c r="F57" s="19"/>
      <c r="G57" s="20" t="s">
        <v>40</v>
      </c>
      <c r="H57" s="19"/>
      <c r="I57" s="19"/>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2:52" x14ac:dyDescent="0.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row>
    <row r="59" spans="2:52" x14ac:dyDescent="0.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row>
  </sheetData>
  <mergeCells count="47">
    <mergeCell ref="B15:C15"/>
    <mergeCell ref="B2:I2"/>
    <mergeCell ref="B3:I3"/>
    <mergeCell ref="B4:I4"/>
    <mergeCell ref="B7:J7"/>
    <mergeCell ref="B8:C8"/>
    <mergeCell ref="B9:C9"/>
    <mergeCell ref="B10:C10"/>
    <mergeCell ref="B11:C11"/>
    <mergeCell ref="B12:C12"/>
    <mergeCell ref="B13:C13"/>
    <mergeCell ref="B14:C14"/>
    <mergeCell ref="I30:J30"/>
    <mergeCell ref="B16:C16"/>
    <mergeCell ref="D16:E16"/>
    <mergeCell ref="G16:H16"/>
    <mergeCell ref="B18:J18"/>
    <mergeCell ref="B20:J20"/>
    <mergeCell ref="B23:E23"/>
    <mergeCell ref="G23:J23"/>
    <mergeCell ref="I24:J24"/>
    <mergeCell ref="I25:J25"/>
    <mergeCell ref="I26:J26"/>
    <mergeCell ref="I27:J27"/>
    <mergeCell ref="I28:J28"/>
    <mergeCell ref="I31:J31"/>
    <mergeCell ref="I32:J32"/>
    <mergeCell ref="H34:J34"/>
    <mergeCell ref="B37:I37"/>
    <mergeCell ref="B39:C39"/>
    <mergeCell ref="G39:J39"/>
    <mergeCell ref="B40:C40"/>
    <mergeCell ref="H40:J40"/>
    <mergeCell ref="B41:C41"/>
    <mergeCell ref="H41:J41"/>
    <mergeCell ref="B42:C42"/>
    <mergeCell ref="H42:J42"/>
    <mergeCell ref="C50:J50"/>
    <mergeCell ref="C51:J51"/>
    <mergeCell ref="C52:J52"/>
    <mergeCell ref="B55:C55"/>
    <mergeCell ref="B43:C43"/>
    <mergeCell ref="B44:C44"/>
    <mergeCell ref="G44:J45"/>
    <mergeCell ref="B45:C45"/>
    <mergeCell ref="B47:I47"/>
    <mergeCell ref="C49:J49"/>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3</xdr:col>
                    <xdr:colOff>38100</xdr:colOff>
                    <xdr:row>15</xdr:row>
                    <xdr:rowOff>69850</xdr:rowOff>
                  </from>
                  <to>
                    <xdr:col>3</xdr:col>
                    <xdr:colOff>241300</xdr:colOff>
                    <xdr:row>15</xdr:row>
                    <xdr:rowOff>241300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3</xdr:col>
                    <xdr:colOff>1612900</xdr:colOff>
                    <xdr:row>15</xdr:row>
                    <xdr:rowOff>76200</xdr:rowOff>
                  </from>
                  <to>
                    <xdr:col>4</xdr:col>
                    <xdr:colOff>50800</xdr:colOff>
                    <xdr:row>15</xdr:row>
                    <xdr:rowOff>247650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8</xdr:col>
                    <xdr:colOff>31750</xdr:colOff>
                    <xdr:row>15</xdr:row>
                    <xdr:rowOff>88900</xdr:rowOff>
                  </from>
                  <to>
                    <xdr:col>8</xdr:col>
                    <xdr:colOff>228600</xdr:colOff>
                    <xdr:row>15</xdr:row>
                    <xdr:rowOff>260350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8</xdr:col>
                    <xdr:colOff>819150</xdr:colOff>
                    <xdr:row>15</xdr:row>
                    <xdr:rowOff>88900</xdr:rowOff>
                  </from>
                  <to>
                    <xdr:col>8</xdr:col>
                    <xdr:colOff>1022350</xdr:colOff>
                    <xdr:row>15</xdr:row>
                    <xdr:rowOff>260350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2:AZ59"/>
  <sheetViews>
    <sheetView showGridLines="0" topLeftCell="A23" zoomScale="80" zoomScaleNormal="80" workbookViewId="0">
      <selection activeCell="I31" sqref="I31:J31"/>
    </sheetView>
  </sheetViews>
  <sheetFormatPr baseColWidth="10" defaultColWidth="11.453125" defaultRowHeight="13.5" x14ac:dyDescent="0.35"/>
  <cols>
    <col min="1" max="1" width="4.54296875" style="3" customWidth="1"/>
    <col min="2" max="2" width="23.453125" style="7" customWidth="1"/>
    <col min="3" max="3" width="20" style="3" customWidth="1"/>
    <col min="4" max="5" width="26.453125" style="3" customWidth="1"/>
    <col min="6" max="6" width="6.54296875" style="3" customWidth="1"/>
    <col min="7" max="7" width="24.1796875" style="3" customWidth="1"/>
    <col min="8" max="8" width="25.1796875" style="3" customWidth="1"/>
    <col min="9" max="9" width="29.453125" style="3" customWidth="1"/>
    <col min="10" max="10" width="22.453125" style="3" customWidth="1"/>
    <col min="11" max="16384" width="11.453125" style="3"/>
  </cols>
  <sheetData>
    <row r="2" spans="2:50" ht="20.5" x14ac:dyDescent="0.35">
      <c r="B2" s="62" t="s">
        <v>0</v>
      </c>
      <c r="C2" s="62"/>
      <c r="D2" s="62"/>
      <c r="E2" s="62"/>
      <c r="F2" s="62"/>
      <c r="G2" s="62"/>
      <c r="H2" s="62"/>
      <c r="I2" s="62"/>
    </row>
    <row r="3" spans="2:50" ht="20.5" x14ac:dyDescent="0.35">
      <c r="B3" s="62" t="s">
        <v>52</v>
      </c>
      <c r="C3" s="62"/>
      <c r="D3" s="62"/>
      <c r="E3" s="62"/>
      <c r="F3" s="62"/>
      <c r="G3" s="62"/>
      <c r="H3" s="62"/>
      <c r="I3" s="62"/>
    </row>
    <row r="4" spans="2:50" ht="15.5" x14ac:dyDescent="0.35">
      <c r="B4" s="63" t="s">
        <v>53</v>
      </c>
      <c r="C4" s="63"/>
      <c r="D4" s="63"/>
      <c r="E4" s="63"/>
      <c r="F4" s="63"/>
      <c r="G4" s="63"/>
      <c r="H4" s="63"/>
      <c r="I4" s="63"/>
    </row>
    <row r="5" spans="2:50" x14ac:dyDescent="0.35">
      <c r="B5" s="5"/>
    </row>
    <row r="7" spans="2:50" ht="28.5" customHeight="1" x14ac:dyDescent="0.35">
      <c r="B7" s="64" t="s">
        <v>1</v>
      </c>
      <c r="C7" s="64"/>
      <c r="D7" s="64"/>
      <c r="E7" s="64"/>
      <c r="F7" s="64"/>
      <c r="G7" s="64"/>
      <c r="H7" s="64"/>
      <c r="I7" s="64"/>
      <c r="J7" s="64"/>
    </row>
    <row r="8" spans="2:50" ht="24.75" customHeight="1" x14ac:dyDescent="0.35">
      <c r="B8" s="61" t="s">
        <v>2</v>
      </c>
      <c r="C8" s="61"/>
      <c r="D8" s="14">
        <v>46087</v>
      </c>
      <c r="E8" s="14"/>
      <c r="F8" s="14"/>
      <c r="G8" s="14"/>
      <c r="H8" s="14"/>
      <c r="I8" s="14"/>
      <c r="J8" s="14"/>
    </row>
    <row r="9" spans="2:50" ht="24.75" customHeight="1" x14ac:dyDescent="0.35">
      <c r="B9" s="61" t="s">
        <v>3</v>
      </c>
      <c r="C9" s="61" t="s">
        <v>4</v>
      </c>
      <c r="D9" s="41" t="s">
        <v>72</v>
      </c>
      <c r="E9" s="14"/>
      <c r="F9" s="14"/>
      <c r="G9" s="14"/>
      <c r="H9" s="14"/>
      <c r="I9" s="14"/>
      <c r="J9" s="14"/>
    </row>
    <row r="10" spans="2:50" ht="24.75" customHeight="1" x14ac:dyDescent="0.35">
      <c r="B10" s="61" t="s">
        <v>58</v>
      </c>
      <c r="C10" s="61" t="s">
        <v>5</v>
      </c>
      <c r="D10" s="41" t="s">
        <v>73</v>
      </c>
      <c r="E10" s="14"/>
      <c r="F10" s="14"/>
      <c r="G10" s="14"/>
      <c r="H10" s="14"/>
      <c r="I10" s="14"/>
      <c r="J10" s="14"/>
    </row>
    <row r="11" spans="2:50" ht="24.75" customHeight="1" x14ac:dyDescent="0.35">
      <c r="B11" s="61" t="s">
        <v>6</v>
      </c>
      <c r="C11" s="61">
        <v>890800252</v>
      </c>
      <c r="D11" s="41" t="s">
        <v>80</v>
      </c>
      <c r="E11" s="14"/>
      <c r="F11" s="14"/>
      <c r="G11" s="14"/>
      <c r="H11" s="14"/>
      <c r="I11" s="14"/>
      <c r="J11" s="14"/>
    </row>
    <row r="12" spans="2:50" ht="24.75" customHeight="1" x14ac:dyDescent="0.35">
      <c r="B12" s="61" t="s">
        <v>7</v>
      </c>
      <c r="C12" s="61" t="s">
        <v>8</v>
      </c>
      <c r="D12" s="41" t="s">
        <v>74</v>
      </c>
      <c r="E12" s="14"/>
      <c r="F12" s="14"/>
      <c r="G12" s="14"/>
      <c r="H12" s="14"/>
      <c r="I12" s="14"/>
      <c r="J12" s="14"/>
    </row>
    <row r="13" spans="2:50" ht="24.75" customHeight="1" x14ac:dyDescent="0.35">
      <c r="B13" s="61" t="s">
        <v>61</v>
      </c>
      <c r="C13" s="61">
        <v>82401</v>
      </c>
      <c r="D13" s="41" t="s">
        <v>81</v>
      </c>
      <c r="E13" s="14"/>
      <c r="F13" s="14"/>
      <c r="G13" s="14"/>
      <c r="H13" s="14"/>
      <c r="I13" s="14"/>
      <c r="J13" s="14"/>
    </row>
    <row r="14" spans="2:50" ht="24.75" customHeight="1" x14ac:dyDescent="0.35">
      <c r="B14" s="61" t="s">
        <v>9</v>
      </c>
      <c r="C14" s="61"/>
      <c r="D14" s="41" t="s">
        <v>82</v>
      </c>
      <c r="E14" s="14"/>
      <c r="F14" s="14"/>
      <c r="G14" s="14"/>
      <c r="H14" s="14"/>
      <c r="I14" s="14"/>
      <c r="J14" s="14"/>
    </row>
    <row r="15" spans="2:50" ht="24.75" customHeight="1" x14ac:dyDescent="0.35">
      <c r="B15" s="61" t="s">
        <v>10</v>
      </c>
      <c r="C15" s="61"/>
      <c r="D15" s="41" t="s">
        <v>75</v>
      </c>
      <c r="E15" s="14"/>
      <c r="F15" s="14"/>
      <c r="G15" s="14"/>
      <c r="H15" s="14"/>
      <c r="I15" s="14"/>
      <c r="J15" s="14"/>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2:50" ht="27" customHeight="1" x14ac:dyDescent="0.35">
      <c r="B16" s="61" t="s">
        <v>59</v>
      </c>
      <c r="C16" s="61"/>
      <c r="D16" s="101" t="s">
        <v>66</v>
      </c>
      <c r="E16" s="101"/>
      <c r="F16" s="13"/>
      <c r="G16" s="61" t="s">
        <v>67</v>
      </c>
      <c r="H16" s="61"/>
      <c r="I16" s="34" t="s">
        <v>65</v>
      </c>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4.25" customHeight="1" x14ac:dyDescent="0.35">
      <c r="B17" s="12"/>
      <c r="C17" s="12"/>
      <c r="D17" s="13"/>
      <c r="E17" s="13"/>
      <c r="F17" s="13"/>
      <c r="G17" s="13"/>
      <c r="H17" s="13"/>
      <c r="I17" s="1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28.5" customHeight="1" x14ac:dyDescent="0.35">
      <c r="B18" s="64" t="s">
        <v>11</v>
      </c>
      <c r="C18" s="64"/>
      <c r="D18" s="64"/>
      <c r="E18" s="64"/>
      <c r="F18" s="64"/>
      <c r="G18" s="64"/>
      <c r="H18" s="64"/>
      <c r="I18" s="64"/>
      <c r="J18" s="64"/>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9.75" customHeight="1" x14ac:dyDescent="0.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37.5" customHeight="1" x14ac:dyDescent="0.35">
      <c r="B20" s="60" t="s">
        <v>62</v>
      </c>
      <c r="C20" s="60"/>
      <c r="D20" s="60"/>
      <c r="E20" s="60"/>
      <c r="F20" s="60"/>
      <c r="G20" s="60"/>
      <c r="H20" s="60"/>
      <c r="I20" s="60"/>
      <c r="J20" s="6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9.75" customHeight="1" x14ac:dyDescent="0.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9.75" customHeight="1" x14ac:dyDescent="0.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27" customHeight="1" x14ac:dyDescent="0.35">
      <c r="B23" s="65" t="s">
        <v>102</v>
      </c>
      <c r="C23" s="65"/>
      <c r="D23" s="65"/>
      <c r="E23" s="65"/>
      <c r="G23" s="65" t="s">
        <v>12</v>
      </c>
      <c r="H23" s="65"/>
      <c r="I23" s="65"/>
      <c r="J23" s="6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30" customHeight="1" x14ac:dyDescent="0.35">
      <c r="B24" s="24" t="s">
        <v>13</v>
      </c>
      <c r="C24" s="24" t="s">
        <v>14</v>
      </c>
      <c r="D24" s="24" t="s">
        <v>55</v>
      </c>
      <c r="E24" s="24" t="s">
        <v>15</v>
      </c>
      <c r="F24" s="5"/>
      <c r="G24" s="29" t="s">
        <v>16</v>
      </c>
      <c r="H24" s="30" t="s">
        <v>14</v>
      </c>
      <c r="I24" s="85" t="s">
        <v>55</v>
      </c>
      <c r="J24" s="8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34.5" customHeight="1" x14ac:dyDescent="0.35">
      <c r="A25" s="10"/>
      <c r="B25" s="24" t="s">
        <v>70</v>
      </c>
      <c r="C25" s="44" t="s">
        <v>85</v>
      </c>
      <c r="D25" s="44" t="s">
        <v>94</v>
      </c>
      <c r="E25" s="44">
        <v>10196231</v>
      </c>
      <c r="G25" s="26" t="s">
        <v>41</v>
      </c>
      <c r="H25" s="56" t="s">
        <v>87</v>
      </c>
      <c r="I25" s="102" t="s">
        <v>88</v>
      </c>
      <c r="J25" s="102"/>
      <c r="K25" s="35"/>
      <c r="L25" s="35"/>
      <c r="M25" s="35"/>
      <c r="N25" s="35"/>
      <c r="O25" s="35"/>
      <c r="P25" s="35"/>
      <c r="Q25" s="35"/>
      <c r="R25" s="35"/>
      <c r="S25" s="35"/>
      <c r="T25" s="35" t="str">
        <f t="shared" ref="T25:T34" si="0">IF(C25="","",CONCATENATE(B25&amp;" - "&amp;C$24&amp;": "&amp;C25&amp;" - "&amp;D$24&amp;": "&amp;D25&amp;" - "&amp;E$24&amp;": "&amp;E25))</f>
        <v>Medidor Principal Activa Reactiva - Marca: METCOM - Tipo, Modelo o Referencia: MCS301 - Serie : 10196231</v>
      </c>
      <c r="U25" s="35"/>
      <c r="V25" s="35"/>
      <c r="W25" s="35"/>
      <c r="X25" s="35"/>
      <c r="Y25" s="35" t="str">
        <f>IF(H25="","",CONCATENATE(G25&amp;" - "&amp;H$24&amp;": "&amp;H25&amp;" - "&amp;I$24&amp;": "&amp;I25&amp;" - "&amp;H$30&amp;": "&amp;H31&amp;" - "&amp;I$30&amp;": "&amp;I31))</f>
        <v xml:space="preserve">Cables para señales de tension  - Marca: CENTELSA - Tipo, Modelo o Referencia: CABLE - Longitud:  - Calibre: </v>
      </c>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34.5" customHeight="1" x14ac:dyDescent="0.35">
      <c r="A26" s="10"/>
      <c r="B26" s="24"/>
      <c r="C26" s="44"/>
      <c r="D26" s="44"/>
      <c r="E26" s="44"/>
      <c r="G26" s="26" t="s">
        <v>42</v>
      </c>
      <c r="H26" s="42" t="s">
        <v>87</v>
      </c>
      <c r="I26" s="95" t="s">
        <v>88</v>
      </c>
      <c r="J26" s="95"/>
      <c r="K26" s="35"/>
      <c r="L26" s="35"/>
      <c r="M26" s="35"/>
      <c r="N26" s="35"/>
      <c r="O26" s="35"/>
      <c r="P26" s="35"/>
      <c r="Q26" s="35"/>
      <c r="R26" s="35"/>
      <c r="S26" s="35"/>
      <c r="T26" s="35" t="str">
        <f t="shared" si="0"/>
        <v/>
      </c>
      <c r="U26" s="35"/>
      <c r="V26" s="35"/>
      <c r="W26" s="35"/>
      <c r="X26" s="35"/>
      <c r="Y26" s="35" t="str">
        <f>IF(H26="","",CONCATENATE(G26&amp;" - "&amp;H$24&amp;": "&amp;H26&amp;" - "&amp;I$24&amp;": "&amp;I26&amp;" - "&amp;H$30&amp;": "&amp;H32&amp;" - "&amp;I$30&amp;": "&amp;I32))</f>
        <v>Cables para señales de corriente - Marca: CENTELSA - Tipo, Modelo o Referencia: CABLE - Longitud: 4 - Calibre: 12</v>
      </c>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34.5" customHeight="1" x14ac:dyDescent="0.35">
      <c r="A27" s="10"/>
      <c r="B27" s="24" t="s">
        <v>71</v>
      </c>
      <c r="C27" s="44"/>
      <c r="D27" s="44"/>
      <c r="E27" s="44"/>
      <c r="G27" s="26" t="s">
        <v>44</v>
      </c>
      <c r="H27" s="42" t="s">
        <v>77</v>
      </c>
      <c r="I27" s="95" t="s">
        <v>96</v>
      </c>
      <c r="J27" s="95"/>
      <c r="K27" s="35"/>
      <c r="L27" s="35"/>
      <c r="M27" s="35"/>
      <c r="N27" s="35"/>
      <c r="O27" s="35"/>
      <c r="P27" s="35"/>
      <c r="Q27" s="35"/>
      <c r="R27" s="35"/>
      <c r="S27" s="35"/>
      <c r="T27" s="35" t="str">
        <f t="shared" si="0"/>
        <v/>
      </c>
      <c r="U27" s="35"/>
      <c r="V27" s="35"/>
      <c r="W27" s="35"/>
      <c r="X27" s="35"/>
      <c r="Y27" s="35" t="str">
        <f>IF(H27="","",CONCATENATE(G27&amp;" - "&amp;H$24&amp;": "&amp;H27&amp;" - "&amp;I$24&amp;": "&amp;I27))</f>
        <v>Gabinete - Marca: UMI - Tipo, Modelo o Referencia: INT/TAB MDD CRD 500A 220V 220 080 070 OP 1188</v>
      </c>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34.5" customHeight="1" x14ac:dyDescent="0.35">
      <c r="A28" s="10"/>
      <c r="B28" s="24"/>
      <c r="C28" s="44"/>
      <c r="D28" s="44"/>
      <c r="E28" s="44"/>
      <c r="G28" s="26" t="s">
        <v>47</v>
      </c>
      <c r="H28" s="42"/>
      <c r="I28" s="95"/>
      <c r="J28" s="95"/>
      <c r="K28" s="35"/>
      <c r="L28" s="35"/>
      <c r="M28" s="35"/>
      <c r="N28" s="35"/>
      <c r="O28" s="35"/>
      <c r="P28" s="35"/>
      <c r="Q28" s="35"/>
      <c r="R28" s="35"/>
      <c r="S28" s="35"/>
      <c r="T28" s="35" t="str">
        <f t="shared" si="0"/>
        <v/>
      </c>
      <c r="U28" s="35"/>
      <c r="V28" s="35"/>
      <c r="W28" s="35"/>
      <c r="X28" s="35"/>
      <c r="Y28" s="35" t="str">
        <f>IF(H28="","",CONCATENATE(G28&amp;" - "&amp;H$24&amp;": "&amp;H28&amp;" - "&amp;I$24&amp;": "&amp;I28))</f>
        <v/>
      </c>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34.5" customHeight="1" x14ac:dyDescent="0.35">
      <c r="A29" s="10"/>
      <c r="B29" s="24" t="s">
        <v>43</v>
      </c>
      <c r="C29" s="44" t="s">
        <v>83</v>
      </c>
      <c r="D29" s="44" t="s">
        <v>84</v>
      </c>
      <c r="E29" s="44">
        <v>10909614</v>
      </c>
      <c r="H29" s="5"/>
      <c r="I29" s="5"/>
      <c r="J29" s="43"/>
      <c r="K29" s="35"/>
      <c r="L29" s="35"/>
      <c r="M29" s="35"/>
      <c r="N29" s="35"/>
      <c r="O29" s="35"/>
      <c r="P29" s="35"/>
      <c r="Q29" s="35"/>
      <c r="R29" s="35"/>
      <c r="S29" s="35"/>
      <c r="T29" s="35" t="str">
        <f t="shared" si="0"/>
        <v>TC 1 - Marca: BLOX - Tipo, Modelo o Referencia: HS600 (VENTANA) - Serie : 10909614</v>
      </c>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34.5" customHeight="1" x14ac:dyDescent="0.35">
      <c r="A30" s="10"/>
      <c r="B30" s="24" t="s">
        <v>45</v>
      </c>
      <c r="C30" s="46" t="s">
        <v>83</v>
      </c>
      <c r="D30" s="46" t="s">
        <v>84</v>
      </c>
      <c r="E30" s="46">
        <v>10909615</v>
      </c>
      <c r="G30" s="24" t="s">
        <v>16</v>
      </c>
      <c r="H30" s="15" t="s">
        <v>56</v>
      </c>
      <c r="I30" s="85" t="s">
        <v>57</v>
      </c>
      <c r="J30" s="85"/>
      <c r="K30" s="35"/>
      <c r="L30" s="35"/>
      <c r="M30" s="35"/>
      <c r="N30" s="35"/>
      <c r="O30" s="35"/>
      <c r="P30" s="35"/>
      <c r="Q30" s="35"/>
      <c r="R30" s="35"/>
      <c r="S30" s="35"/>
      <c r="T30" s="35" t="str">
        <f t="shared" si="0"/>
        <v>TC 2 - Marca: BLOX - Tipo, Modelo o Referencia: HS600 (VENTANA) - Serie : 10909615</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34.5" customHeight="1" x14ac:dyDescent="0.35">
      <c r="B31" s="24" t="s">
        <v>46</v>
      </c>
      <c r="C31" s="46" t="s">
        <v>83</v>
      </c>
      <c r="D31" s="46" t="s">
        <v>84</v>
      </c>
      <c r="E31" s="46">
        <v>10909617</v>
      </c>
      <c r="G31" s="26" t="s">
        <v>41</v>
      </c>
      <c r="H31" s="42"/>
      <c r="I31" s="95"/>
      <c r="J31" s="95"/>
      <c r="K31" s="35"/>
      <c r="L31" s="35"/>
      <c r="M31" s="35"/>
      <c r="N31" s="35"/>
      <c r="O31" s="35"/>
      <c r="P31" s="35"/>
      <c r="Q31" s="35"/>
      <c r="R31" s="35"/>
      <c r="S31" s="35"/>
      <c r="T31" s="35" t="str">
        <f t="shared" si="0"/>
        <v>TC 3 - Marca: BLOX - Tipo, Modelo o Referencia: HS600 (VENTANA) - Serie : 10909617</v>
      </c>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34.5" customHeight="1" x14ac:dyDescent="0.35">
      <c r="B32" s="24" t="s">
        <v>48</v>
      </c>
      <c r="C32" s="44"/>
      <c r="D32" s="44"/>
      <c r="E32" s="44"/>
      <c r="G32" s="26" t="s">
        <v>42</v>
      </c>
      <c r="H32" s="42">
        <v>4</v>
      </c>
      <c r="I32" s="95" t="s">
        <v>89</v>
      </c>
      <c r="J32" s="95"/>
      <c r="K32" s="35"/>
      <c r="L32" s="35"/>
      <c r="M32" s="35"/>
      <c r="N32" s="35"/>
      <c r="O32" s="35"/>
      <c r="P32" s="35"/>
      <c r="Q32" s="35"/>
      <c r="R32" s="35"/>
      <c r="S32" s="35"/>
      <c r="T32" s="35" t="str">
        <f t="shared" si="0"/>
        <v/>
      </c>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2" ht="34.5" customHeight="1" x14ac:dyDescent="0.35">
      <c r="B33" s="24" t="s">
        <v>49</v>
      </c>
      <c r="C33" s="45"/>
      <c r="D33" s="45"/>
      <c r="E33" s="44"/>
      <c r="J33" s="27"/>
      <c r="K33" s="35"/>
      <c r="L33" s="35"/>
      <c r="M33" s="35"/>
      <c r="N33" s="35"/>
      <c r="O33" s="35"/>
      <c r="P33" s="35"/>
      <c r="Q33" s="35"/>
      <c r="R33" s="35"/>
      <c r="S33" s="35"/>
      <c r="T33" s="35" t="str">
        <f t="shared" si="0"/>
        <v/>
      </c>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2" ht="34.5" customHeight="1" x14ac:dyDescent="0.35">
      <c r="B34" s="24" t="s">
        <v>50</v>
      </c>
      <c r="C34" s="45"/>
      <c r="D34" s="45"/>
      <c r="E34" s="2"/>
      <c r="G34" s="24" t="s">
        <v>51</v>
      </c>
      <c r="H34" s="96"/>
      <c r="I34" s="97"/>
      <c r="J34" s="97"/>
      <c r="K34" s="35"/>
      <c r="L34" s="35"/>
      <c r="M34" s="35"/>
      <c r="N34" s="35"/>
      <c r="O34" s="35"/>
      <c r="P34" s="35"/>
      <c r="Q34" s="35"/>
      <c r="R34" s="35"/>
      <c r="S34" s="35"/>
      <c r="T34" s="35" t="str">
        <f t="shared" si="0"/>
        <v/>
      </c>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2" x14ac:dyDescent="0.35">
      <c r="B35" s="8"/>
      <c r="C35" s="8"/>
      <c r="D35" s="8"/>
      <c r="E35" s="8"/>
      <c r="J35" s="27"/>
      <c r="K35" s="35"/>
      <c r="L35" s="35"/>
      <c r="M35" s="35"/>
      <c r="N35" s="35"/>
      <c r="O35" s="35"/>
      <c r="P35" s="35"/>
      <c r="Q35" s="35"/>
      <c r="R35" s="35"/>
      <c r="S35" s="35"/>
      <c r="T35" s="35" t="str">
        <f>CONCATENATE(T25&amp;"     "&amp;T26&amp;"     "&amp;T27&amp;"     "&amp;T28&amp;"     "&amp;T29&amp;"     "&amp;T30&amp;"     "&amp;T31&amp;"     "&amp;T32&amp;"     "&amp;T33&amp;"     "&amp;T34)</f>
        <v xml:space="preserve">Medidor Principal Activa Reactiva - Marca: METCOM - Tipo, Modelo o Referencia: MCS301 - Serie : 10196231                    TC 1 - Marca: BLOX - Tipo, Modelo o Referencia: HS600 (VENTANA) - Serie : 10909614     TC 2 - Marca: BLOX - Tipo, Modelo o Referencia: HS600 (VENTANA) - Serie : 10909615     TC 3 - Marca: BLOX - Tipo, Modelo o Referencia: HS600 (VENTANA) - Serie : 10909617               </v>
      </c>
      <c r="U35" s="35"/>
      <c r="V35" s="35"/>
      <c r="W35" s="35" t="str">
        <f t="shared" ref="W35:X35" si="1">CONCATENATE(W25&amp;"     "&amp;W26&amp;"     "&amp;W27&amp;"     "&amp;W28&amp;"     "&amp;W29&amp;"     "&amp;W30&amp;"     "&amp;W31&amp;"     "&amp;W32&amp;"     "&amp;W33&amp;"     "&amp;W34)</f>
        <v xml:space="preserve">                                             </v>
      </c>
      <c r="X35" s="35" t="str">
        <f t="shared" si="1"/>
        <v xml:space="preserve">                                             </v>
      </c>
      <c r="Y35" s="35" t="str">
        <f>CONCATENATE(Y25&amp;"     "&amp;Y26&amp;"     "&amp;Y27&amp;"     "&amp;Y28&amp;"     "&amp;Y29&amp;"     "&amp;Y30&amp;"     "&amp;Y31&amp;"     "&amp;Y32&amp;"     "&amp;Y33&amp;"     "&amp;Y34)</f>
        <v xml:space="preserve">Cables para señales de tension  - Marca: CENTELSA - Tipo, Modelo o Referencia: CABLE - Longitud:  - Calibre:      Cables para señales de corriente - Marca: CENTELSA - Tipo, Modelo o Referencia: CABLE - Longitud: 4 - Calibre: 12     Gabinete - Marca: UMI - Tipo, Modelo o Referencia: INT/TAB MDD CRD 500A 220V 220 080 070 OP 1188                                   </v>
      </c>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row>
    <row r="36" spans="1:52" x14ac:dyDescent="0.35">
      <c r="B36" s="8"/>
      <c r="C36" s="9"/>
      <c r="D36" s="9"/>
      <c r="E36" s="1"/>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spans="1:52" x14ac:dyDescent="0.35">
      <c r="B37" s="60" t="s">
        <v>19</v>
      </c>
      <c r="C37" s="60"/>
      <c r="D37" s="60"/>
      <c r="E37" s="60"/>
      <c r="F37" s="60"/>
      <c r="G37" s="60"/>
      <c r="H37" s="60"/>
      <c r="I37" s="60"/>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row>
    <row r="38" spans="1:52" x14ac:dyDescent="0.35">
      <c r="B38" s="12"/>
      <c r="C38" s="12"/>
      <c r="D38" s="12"/>
      <c r="E38" s="12"/>
      <c r="F38" s="12"/>
      <c r="G38" s="12"/>
      <c r="H38" s="12"/>
      <c r="I38" s="12"/>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row>
    <row r="39" spans="1:52" s="7" customFormat="1" ht="55.5" customHeight="1" x14ac:dyDescent="0.35">
      <c r="B39" s="98" t="s">
        <v>20</v>
      </c>
      <c r="C39" s="98"/>
      <c r="D39" s="25" t="s">
        <v>21</v>
      </c>
      <c r="E39" s="25" t="s">
        <v>22</v>
      </c>
      <c r="F39" s="1"/>
      <c r="G39" s="99" t="s">
        <v>23</v>
      </c>
      <c r="H39" s="100"/>
      <c r="I39" s="100"/>
      <c r="J39" s="100"/>
      <c r="K39" s="38"/>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row>
    <row r="40" spans="1:52" ht="27" customHeight="1" x14ac:dyDescent="0.35">
      <c r="B40" s="85" t="s">
        <v>24</v>
      </c>
      <c r="C40" s="85"/>
      <c r="D40" s="2"/>
      <c r="E40" s="21"/>
      <c r="F40" s="11"/>
      <c r="G40" s="22"/>
      <c r="H40" s="58"/>
      <c r="I40" s="58"/>
      <c r="J40" s="58"/>
      <c r="K40" s="39"/>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row>
    <row r="41" spans="1:52" ht="27" customHeight="1" x14ac:dyDescent="0.35">
      <c r="A41" s="5"/>
      <c r="B41" s="85" t="s">
        <v>25</v>
      </c>
      <c r="C41" s="85"/>
      <c r="D41" s="2"/>
      <c r="E41" s="21"/>
      <c r="G41" s="22" t="s">
        <v>26</v>
      </c>
      <c r="H41" s="58"/>
      <c r="I41" s="58"/>
      <c r="J41" s="58"/>
      <c r="K41" s="39"/>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spans="1:52" ht="23.25" customHeight="1" x14ac:dyDescent="0.35">
      <c r="A42" s="7"/>
      <c r="B42" s="85" t="s">
        <v>27</v>
      </c>
      <c r="C42" s="85"/>
      <c r="D42" s="2"/>
      <c r="E42" s="21"/>
      <c r="G42" s="22" t="s">
        <v>28</v>
      </c>
      <c r="H42" s="58"/>
      <c r="I42" s="58"/>
      <c r="J42" s="58"/>
      <c r="K42" s="39"/>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spans="1:52" ht="23.25" customHeight="1" x14ac:dyDescent="0.35">
      <c r="B43" s="85" t="s">
        <v>29</v>
      </c>
      <c r="C43" s="85"/>
      <c r="D43" s="2"/>
      <c r="E43" s="21"/>
      <c r="H43" s="28"/>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row>
    <row r="44" spans="1:52" ht="23.25" customHeight="1" x14ac:dyDescent="0.35">
      <c r="B44" s="85" t="s">
        <v>30</v>
      </c>
      <c r="C44" s="85"/>
      <c r="D44" s="2"/>
      <c r="E44" s="21"/>
      <c r="G44" s="86" t="s">
        <v>31</v>
      </c>
      <c r="H44" s="87"/>
      <c r="I44" s="87"/>
      <c r="J44" s="88"/>
      <c r="K44" s="40"/>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row>
    <row r="45" spans="1:52" ht="23.25" customHeight="1" x14ac:dyDescent="0.35">
      <c r="B45" s="85" t="s">
        <v>32</v>
      </c>
      <c r="C45" s="85"/>
      <c r="D45" s="2"/>
      <c r="E45" s="21"/>
      <c r="G45" s="89"/>
      <c r="H45" s="90"/>
      <c r="I45" s="90"/>
      <c r="J45" s="91"/>
      <c r="K45" s="40"/>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row>
    <row r="46" spans="1:52" x14ac:dyDescent="0.35">
      <c r="G46" s="8"/>
      <c r="H46" s="8"/>
      <c r="I46" s="8"/>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row>
    <row r="47" spans="1:52" x14ac:dyDescent="0.35">
      <c r="B47" s="60" t="s">
        <v>33</v>
      </c>
      <c r="C47" s="60"/>
      <c r="D47" s="60"/>
      <c r="E47" s="60"/>
      <c r="F47" s="60"/>
      <c r="G47" s="60"/>
      <c r="H47" s="60"/>
      <c r="I47" s="60"/>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row>
    <row r="48" spans="1:52" x14ac:dyDescent="0.35">
      <c r="G48" s="8"/>
      <c r="H48" s="8"/>
      <c r="I48" s="8"/>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row>
    <row r="49" spans="2:52" x14ac:dyDescent="0.35">
      <c r="B49" s="22" t="s">
        <v>34</v>
      </c>
      <c r="C49" s="92"/>
      <c r="D49" s="93"/>
      <c r="E49" s="93"/>
      <c r="F49" s="93"/>
      <c r="G49" s="93"/>
      <c r="H49" s="93"/>
      <c r="I49" s="93"/>
      <c r="J49" s="9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row>
    <row r="50" spans="2:52" x14ac:dyDescent="0.35">
      <c r="B50" s="22" t="s">
        <v>35</v>
      </c>
      <c r="C50" s="76"/>
      <c r="D50" s="77"/>
      <c r="E50" s="77"/>
      <c r="F50" s="77"/>
      <c r="G50" s="77"/>
      <c r="H50" s="77"/>
      <c r="I50" s="77"/>
      <c r="J50" s="78"/>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row>
    <row r="51" spans="2:52" x14ac:dyDescent="0.35">
      <c r="B51" s="22" t="s">
        <v>36</v>
      </c>
      <c r="C51" s="79"/>
      <c r="D51" s="80"/>
      <c r="E51" s="80"/>
      <c r="F51" s="80"/>
      <c r="G51" s="80"/>
      <c r="H51" s="80"/>
      <c r="I51" s="80"/>
      <c r="J51" s="81"/>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2:52" x14ac:dyDescent="0.35">
      <c r="B52" s="22" t="s">
        <v>37</v>
      </c>
      <c r="C52" s="82"/>
      <c r="D52" s="83"/>
      <c r="E52" s="83"/>
      <c r="F52" s="83"/>
      <c r="G52" s="83"/>
      <c r="H52" s="83"/>
      <c r="I52" s="83"/>
      <c r="J52" s="84"/>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row>
    <row r="53" spans="2:52" x14ac:dyDescent="0.35">
      <c r="G53" s="8"/>
      <c r="H53" s="8"/>
      <c r="I53" s="8"/>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row>
    <row r="54" spans="2:52" x14ac:dyDescent="0.35">
      <c r="G54" s="8"/>
      <c r="H54" s="8"/>
      <c r="I54" s="8"/>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row>
    <row r="55" spans="2:52" s="16" customFormat="1" ht="15" customHeight="1" x14ac:dyDescent="0.35">
      <c r="B55" s="59" t="s">
        <v>38</v>
      </c>
      <c r="C55" s="59"/>
      <c r="D55" s="23"/>
      <c r="G55" s="17"/>
      <c r="H55" s="17"/>
      <c r="I55" s="1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spans="2:52" s="16" customFormat="1" ht="7.5" customHeight="1" x14ac:dyDescent="0.35">
      <c r="B56" s="18"/>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2:52" s="16" customFormat="1" ht="15.5" x14ac:dyDescent="0.35">
      <c r="B57" s="18" t="s">
        <v>39</v>
      </c>
      <c r="C57" s="19" t="s">
        <v>76</v>
      </c>
      <c r="D57" s="19"/>
      <c r="E57" s="19"/>
      <c r="F57" s="19"/>
      <c r="G57" s="20" t="s">
        <v>40</v>
      </c>
      <c r="H57" s="19"/>
      <c r="I57" s="19"/>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2:52" x14ac:dyDescent="0.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row>
    <row r="59" spans="2:52" x14ac:dyDescent="0.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row>
  </sheetData>
  <mergeCells count="47">
    <mergeCell ref="G16:H16"/>
    <mergeCell ref="B18:J18"/>
    <mergeCell ref="B55:C55"/>
    <mergeCell ref="B39:C39"/>
    <mergeCell ref="B2:I2"/>
    <mergeCell ref="B3:I3"/>
    <mergeCell ref="B4:I4"/>
    <mergeCell ref="B8:C8"/>
    <mergeCell ref="B9:C9"/>
    <mergeCell ref="B41:C41"/>
    <mergeCell ref="B42:C42"/>
    <mergeCell ref="B43:C43"/>
    <mergeCell ref="B44:C44"/>
    <mergeCell ref="B45:C45"/>
    <mergeCell ref="C52:J52"/>
    <mergeCell ref="G44:J45"/>
    <mergeCell ref="C49:J49"/>
    <mergeCell ref="C50:J50"/>
    <mergeCell ref="C51:J51"/>
    <mergeCell ref="B23:E23"/>
    <mergeCell ref="G39:J39"/>
    <mergeCell ref="H40:J40"/>
    <mergeCell ref="H41:J41"/>
    <mergeCell ref="I24:J24"/>
    <mergeCell ref="G23:J23"/>
    <mergeCell ref="I30:J30"/>
    <mergeCell ref="I31:J31"/>
    <mergeCell ref="I32:J32"/>
    <mergeCell ref="I25:J25"/>
    <mergeCell ref="B47:I47"/>
    <mergeCell ref="B37:I37"/>
    <mergeCell ref="B7:J7"/>
    <mergeCell ref="H42:J42"/>
    <mergeCell ref="H34:J34"/>
    <mergeCell ref="B10:C10"/>
    <mergeCell ref="B11:C11"/>
    <mergeCell ref="B12:C12"/>
    <mergeCell ref="B13:C13"/>
    <mergeCell ref="B14:C14"/>
    <mergeCell ref="B16:C16"/>
    <mergeCell ref="B15:C15"/>
    <mergeCell ref="B20:J20"/>
    <mergeCell ref="B40:C40"/>
    <mergeCell ref="I26:J26"/>
    <mergeCell ref="I27:J27"/>
    <mergeCell ref="I28:J28"/>
    <mergeCell ref="D16:E16"/>
  </mergeCells>
  <phoneticPr fontId="13"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3</xdr:col>
                    <xdr:colOff>38100</xdr:colOff>
                    <xdr:row>15</xdr:row>
                    <xdr:rowOff>69850</xdr:rowOff>
                  </from>
                  <to>
                    <xdr:col>3</xdr:col>
                    <xdr:colOff>241300</xdr:colOff>
                    <xdr:row>15</xdr:row>
                    <xdr:rowOff>241300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3</xdr:col>
                    <xdr:colOff>1612900</xdr:colOff>
                    <xdr:row>15</xdr:row>
                    <xdr:rowOff>76200</xdr:rowOff>
                  </from>
                  <to>
                    <xdr:col>4</xdr:col>
                    <xdr:colOff>50800</xdr:colOff>
                    <xdr:row>15</xdr:row>
                    <xdr:rowOff>247650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8</xdr:col>
                    <xdr:colOff>31750</xdr:colOff>
                    <xdr:row>15</xdr:row>
                    <xdr:rowOff>88900</xdr:rowOff>
                  </from>
                  <to>
                    <xdr:col>8</xdr:col>
                    <xdr:colOff>228600</xdr:colOff>
                    <xdr:row>15</xdr:row>
                    <xdr:rowOff>260350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8</xdr:col>
                    <xdr:colOff>819150</xdr:colOff>
                    <xdr:row>15</xdr:row>
                    <xdr:rowOff>88900</xdr:rowOff>
                  </from>
                  <to>
                    <xdr:col>8</xdr:col>
                    <xdr:colOff>1022350</xdr:colOff>
                    <xdr:row>15</xdr:row>
                    <xdr:rowOff>260350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5FC3-DB1E-4AE5-A9D5-BA719604A828}">
  <dimension ref="A2:AZ59"/>
  <sheetViews>
    <sheetView showGridLines="0" topLeftCell="A23" zoomScale="80" zoomScaleNormal="80" workbookViewId="0">
      <selection activeCell="I31" sqref="I31:J31"/>
    </sheetView>
  </sheetViews>
  <sheetFormatPr baseColWidth="10" defaultColWidth="11.453125" defaultRowHeight="13.5" x14ac:dyDescent="0.35"/>
  <cols>
    <col min="1" max="1" width="4.54296875" style="3" customWidth="1"/>
    <col min="2" max="2" width="23.453125" style="7" customWidth="1"/>
    <col min="3" max="3" width="20" style="3" customWidth="1"/>
    <col min="4" max="5" width="26.453125" style="3" customWidth="1"/>
    <col min="6" max="6" width="6.54296875" style="3" customWidth="1"/>
    <col min="7" max="7" width="24.1796875" style="3" customWidth="1"/>
    <col min="8" max="8" width="25.1796875" style="3" customWidth="1"/>
    <col min="9" max="9" width="29.453125" style="3" customWidth="1"/>
    <col min="10" max="10" width="22.453125" style="3" customWidth="1"/>
    <col min="11" max="16384" width="11.453125" style="3"/>
  </cols>
  <sheetData>
    <row r="2" spans="2:50" ht="20.5" x14ac:dyDescent="0.35">
      <c r="B2" s="62" t="s">
        <v>0</v>
      </c>
      <c r="C2" s="62"/>
      <c r="D2" s="62"/>
      <c r="E2" s="62"/>
      <c r="F2" s="62"/>
      <c r="G2" s="62"/>
      <c r="H2" s="62"/>
      <c r="I2" s="62"/>
    </row>
    <row r="3" spans="2:50" ht="20.5" x14ac:dyDescent="0.35">
      <c r="B3" s="62" t="s">
        <v>52</v>
      </c>
      <c r="C3" s="62"/>
      <c r="D3" s="62"/>
      <c r="E3" s="62"/>
      <c r="F3" s="62"/>
      <c r="G3" s="62"/>
      <c r="H3" s="62"/>
      <c r="I3" s="62"/>
    </row>
    <row r="4" spans="2:50" ht="15.5" x14ac:dyDescent="0.35">
      <c r="B4" s="63" t="s">
        <v>53</v>
      </c>
      <c r="C4" s="63"/>
      <c r="D4" s="63"/>
      <c r="E4" s="63"/>
      <c r="F4" s="63"/>
      <c r="G4" s="63"/>
      <c r="H4" s="63"/>
      <c r="I4" s="63"/>
    </row>
    <row r="5" spans="2:50" x14ac:dyDescent="0.35">
      <c r="B5" s="50"/>
    </row>
    <row r="7" spans="2:50" ht="28.5" customHeight="1" x14ac:dyDescent="0.35">
      <c r="B7" s="64" t="s">
        <v>1</v>
      </c>
      <c r="C7" s="64"/>
      <c r="D7" s="64"/>
      <c r="E7" s="64"/>
      <c r="F7" s="64"/>
      <c r="G7" s="64"/>
      <c r="H7" s="64"/>
      <c r="I7" s="64"/>
      <c r="J7" s="64"/>
    </row>
    <row r="8" spans="2:50" ht="24.75" customHeight="1" x14ac:dyDescent="0.35">
      <c r="B8" s="61" t="s">
        <v>2</v>
      </c>
      <c r="C8" s="61"/>
      <c r="D8" s="14">
        <v>46087</v>
      </c>
      <c r="E8" s="14"/>
      <c r="F8" s="14"/>
      <c r="G8" s="14"/>
      <c r="H8" s="14"/>
      <c r="I8" s="14"/>
      <c r="J8" s="14"/>
    </row>
    <row r="9" spans="2:50" ht="24.75" customHeight="1" x14ac:dyDescent="0.35">
      <c r="B9" s="61" t="s">
        <v>3</v>
      </c>
      <c r="C9" s="61" t="s">
        <v>4</v>
      </c>
      <c r="D9" s="41" t="s">
        <v>72</v>
      </c>
      <c r="E9" s="14"/>
      <c r="F9" s="14"/>
      <c r="G9" s="14"/>
      <c r="H9" s="14"/>
      <c r="I9" s="14"/>
      <c r="J9" s="14"/>
    </row>
    <row r="10" spans="2:50" ht="24.75" customHeight="1" x14ac:dyDescent="0.35">
      <c r="B10" s="61" t="s">
        <v>58</v>
      </c>
      <c r="C10" s="61" t="s">
        <v>5</v>
      </c>
      <c r="D10" s="41" t="s">
        <v>73</v>
      </c>
      <c r="E10" s="14"/>
      <c r="F10" s="14"/>
      <c r="G10" s="14"/>
      <c r="H10" s="14"/>
      <c r="I10" s="14"/>
      <c r="J10" s="14"/>
    </row>
    <row r="11" spans="2:50" ht="24.75" customHeight="1" x14ac:dyDescent="0.35">
      <c r="B11" s="61" t="s">
        <v>6</v>
      </c>
      <c r="C11" s="61">
        <v>890800252</v>
      </c>
      <c r="D11" s="41" t="s">
        <v>80</v>
      </c>
      <c r="E11" s="14"/>
      <c r="F11" s="14"/>
      <c r="G11" s="14"/>
      <c r="H11" s="14"/>
      <c r="I11" s="14"/>
      <c r="J11" s="14"/>
    </row>
    <row r="12" spans="2:50" ht="24.75" customHeight="1" x14ac:dyDescent="0.35">
      <c r="B12" s="61" t="s">
        <v>7</v>
      </c>
      <c r="C12" s="61" t="s">
        <v>8</v>
      </c>
      <c r="D12" s="41" t="s">
        <v>74</v>
      </c>
      <c r="E12" s="14"/>
      <c r="F12" s="14"/>
      <c r="G12" s="14"/>
      <c r="H12" s="14"/>
      <c r="I12" s="14"/>
      <c r="J12" s="14"/>
    </row>
    <row r="13" spans="2:50" ht="24.75" customHeight="1" x14ac:dyDescent="0.35">
      <c r="B13" s="61" t="s">
        <v>61</v>
      </c>
      <c r="C13" s="61">
        <v>82401</v>
      </c>
      <c r="D13" s="41" t="s">
        <v>81</v>
      </c>
      <c r="E13" s="14"/>
      <c r="F13" s="14"/>
      <c r="G13" s="14"/>
      <c r="H13" s="14"/>
      <c r="I13" s="14"/>
      <c r="J13" s="14"/>
    </row>
    <row r="14" spans="2:50" ht="24.75" customHeight="1" x14ac:dyDescent="0.35">
      <c r="B14" s="61" t="s">
        <v>9</v>
      </c>
      <c r="C14" s="61"/>
      <c r="D14" s="41" t="s">
        <v>82</v>
      </c>
      <c r="E14" s="14"/>
      <c r="F14" s="14"/>
      <c r="G14" s="14"/>
      <c r="H14" s="14"/>
      <c r="I14" s="14"/>
      <c r="J14" s="14"/>
    </row>
    <row r="15" spans="2:50" ht="24.75" customHeight="1" x14ac:dyDescent="0.35">
      <c r="B15" s="61" t="s">
        <v>10</v>
      </c>
      <c r="C15" s="61"/>
      <c r="D15" s="41" t="s">
        <v>75</v>
      </c>
      <c r="E15" s="14"/>
      <c r="F15" s="14"/>
      <c r="G15" s="14"/>
      <c r="H15" s="14"/>
      <c r="I15" s="14"/>
      <c r="J15" s="14"/>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2:50" ht="27" customHeight="1" x14ac:dyDescent="0.35">
      <c r="B16" s="61" t="s">
        <v>59</v>
      </c>
      <c r="C16" s="61"/>
      <c r="D16" s="101" t="s">
        <v>66</v>
      </c>
      <c r="E16" s="101"/>
      <c r="F16" s="13"/>
      <c r="G16" s="61" t="s">
        <v>67</v>
      </c>
      <c r="H16" s="61"/>
      <c r="I16" s="34" t="s">
        <v>65</v>
      </c>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4.25" customHeight="1" x14ac:dyDescent="0.35">
      <c r="B17" s="48"/>
      <c r="C17" s="48"/>
      <c r="D17" s="13"/>
      <c r="E17" s="13"/>
      <c r="F17" s="13"/>
      <c r="G17" s="13"/>
      <c r="H17" s="13"/>
      <c r="I17" s="1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28.5" customHeight="1" x14ac:dyDescent="0.35">
      <c r="B18" s="64" t="s">
        <v>11</v>
      </c>
      <c r="C18" s="64"/>
      <c r="D18" s="64"/>
      <c r="E18" s="64"/>
      <c r="F18" s="64"/>
      <c r="G18" s="64"/>
      <c r="H18" s="64"/>
      <c r="I18" s="64"/>
      <c r="J18" s="64"/>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9.75" customHeight="1" x14ac:dyDescent="0.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37.5" customHeight="1" x14ac:dyDescent="0.35">
      <c r="B20" s="60" t="s">
        <v>62</v>
      </c>
      <c r="C20" s="60"/>
      <c r="D20" s="60"/>
      <c r="E20" s="60"/>
      <c r="F20" s="60"/>
      <c r="G20" s="60"/>
      <c r="H20" s="60"/>
      <c r="I20" s="60"/>
      <c r="J20" s="6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9.75" customHeight="1" x14ac:dyDescent="0.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9.75" customHeight="1" x14ac:dyDescent="0.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27" customHeight="1" x14ac:dyDescent="0.35">
      <c r="B23" s="65" t="s">
        <v>103</v>
      </c>
      <c r="C23" s="65"/>
      <c r="D23" s="65"/>
      <c r="E23" s="65"/>
      <c r="G23" s="65" t="s">
        <v>12</v>
      </c>
      <c r="H23" s="65"/>
      <c r="I23" s="65"/>
      <c r="J23" s="6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30" customHeight="1" x14ac:dyDescent="0.35">
      <c r="B24" s="51" t="s">
        <v>13</v>
      </c>
      <c r="C24" s="51" t="s">
        <v>14</v>
      </c>
      <c r="D24" s="51" t="s">
        <v>55</v>
      </c>
      <c r="E24" s="51" t="s">
        <v>15</v>
      </c>
      <c r="F24" s="50"/>
      <c r="G24" s="29" t="s">
        <v>16</v>
      </c>
      <c r="H24" s="30" t="s">
        <v>14</v>
      </c>
      <c r="I24" s="85" t="s">
        <v>55</v>
      </c>
      <c r="J24" s="8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34.5" customHeight="1" x14ac:dyDescent="0.35">
      <c r="A25" s="10"/>
      <c r="B25" s="51" t="s">
        <v>70</v>
      </c>
      <c r="C25" s="46" t="s">
        <v>85</v>
      </c>
      <c r="D25" s="46" t="s">
        <v>94</v>
      </c>
      <c r="E25" s="46">
        <v>10196230</v>
      </c>
      <c r="G25" s="26" t="s">
        <v>41</v>
      </c>
      <c r="H25" s="56" t="s">
        <v>87</v>
      </c>
      <c r="I25" s="102" t="s">
        <v>88</v>
      </c>
      <c r="J25" s="102"/>
      <c r="K25" s="35"/>
      <c r="L25" s="35"/>
      <c r="M25" s="35"/>
      <c r="N25" s="35"/>
      <c r="O25" s="35"/>
      <c r="P25" s="35"/>
      <c r="Q25" s="35"/>
      <c r="R25" s="35"/>
      <c r="S25" s="35"/>
      <c r="T25" s="35" t="str">
        <f t="shared" ref="T25:T34" si="0">IF(C25="","",CONCATENATE(B25&amp;" - "&amp;C$24&amp;": "&amp;C25&amp;" - "&amp;D$24&amp;": "&amp;D25&amp;" - "&amp;E$24&amp;": "&amp;E25))</f>
        <v>Medidor Principal Activa Reactiva - Marca: METCOM - Tipo, Modelo o Referencia: MCS301 - Serie : 10196230</v>
      </c>
      <c r="U25" s="35"/>
      <c r="V25" s="35"/>
      <c r="W25" s="35"/>
      <c r="X25" s="35"/>
      <c r="Y25" s="35" t="str">
        <f>IF(H25="","",CONCATENATE(G25&amp;" - "&amp;H$24&amp;": "&amp;H25&amp;" - "&amp;I$24&amp;": "&amp;I25&amp;" - "&amp;H$30&amp;": "&amp;H31&amp;" - "&amp;I$30&amp;": "&amp;I31))</f>
        <v xml:space="preserve">Cables para señales de tension  - Marca: CENTELSA - Tipo, Modelo o Referencia: CABLE - Longitud:  - Calibre: </v>
      </c>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34.5" customHeight="1" x14ac:dyDescent="0.35">
      <c r="A26" s="10"/>
      <c r="B26" s="51"/>
      <c r="C26" s="46"/>
      <c r="D26" s="46"/>
      <c r="E26" s="46"/>
      <c r="G26" s="26" t="s">
        <v>42</v>
      </c>
      <c r="H26" s="42" t="s">
        <v>87</v>
      </c>
      <c r="I26" s="95" t="s">
        <v>88</v>
      </c>
      <c r="J26" s="95"/>
      <c r="K26" s="35"/>
      <c r="L26" s="35"/>
      <c r="M26" s="35"/>
      <c r="N26" s="35"/>
      <c r="O26" s="35"/>
      <c r="P26" s="35"/>
      <c r="Q26" s="35"/>
      <c r="R26" s="35"/>
      <c r="S26" s="35"/>
      <c r="T26" s="35" t="str">
        <f t="shared" si="0"/>
        <v/>
      </c>
      <c r="U26" s="35"/>
      <c r="V26" s="35"/>
      <c r="W26" s="35"/>
      <c r="X26" s="35"/>
      <c r="Y26" s="35" t="str">
        <f>IF(H26="","",CONCATENATE(G26&amp;" - "&amp;H$24&amp;": "&amp;H26&amp;" - "&amp;I$24&amp;": "&amp;I26&amp;" - "&amp;H$30&amp;": "&amp;H32&amp;" - "&amp;I$30&amp;": "&amp;I32))</f>
        <v>Cables para señales de corriente - Marca: CENTELSA - Tipo, Modelo o Referencia: CABLE - Longitud: 4 - Calibre: 12</v>
      </c>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34.5" customHeight="1" x14ac:dyDescent="0.35">
      <c r="A27" s="10"/>
      <c r="B27" s="51" t="s">
        <v>71</v>
      </c>
      <c r="C27" s="46"/>
      <c r="D27" s="46"/>
      <c r="E27" s="46"/>
      <c r="G27" s="26" t="s">
        <v>44</v>
      </c>
      <c r="H27" s="42" t="s">
        <v>77</v>
      </c>
      <c r="I27" s="95" t="s">
        <v>97</v>
      </c>
      <c r="J27" s="95"/>
      <c r="K27" s="35"/>
      <c r="L27" s="35"/>
      <c r="M27" s="35"/>
      <c r="N27" s="35"/>
      <c r="O27" s="35"/>
      <c r="P27" s="35"/>
      <c r="Q27" s="35"/>
      <c r="R27" s="35"/>
      <c r="S27" s="35"/>
      <c r="T27" s="35" t="str">
        <f t="shared" si="0"/>
        <v/>
      </c>
      <c r="U27" s="35"/>
      <c r="V27" s="35"/>
      <c r="W27" s="35"/>
      <c r="X27" s="35"/>
      <c r="Y27" s="35" t="str">
        <f>IF(H27="","",CONCATENATE(G27&amp;" - "&amp;H$24&amp;": "&amp;H27&amp;" - "&amp;I$24&amp;": "&amp;I27))</f>
        <v>Gabinete - Marca: UMI - Tipo, Modelo o Referencia: INT/TAB MDD CRD 500A 220V 220 080 070 OP 1201</v>
      </c>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34.5" customHeight="1" x14ac:dyDescent="0.35">
      <c r="A28" s="10"/>
      <c r="B28" s="51"/>
      <c r="C28" s="46"/>
      <c r="D28" s="46"/>
      <c r="E28" s="46"/>
      <c r="G28" s="26" t="s">
        <v>47</v>
      </c>
      <c r="H28" s="42"/>
      <c r="I28" s="95"/>
      <c r="J28" s="95"/>
      <c r="K28" s="35"/>
      <c r="L28" s="35"/>
      <c r="M28" s="35"/>
      <c r="N28" s="35"/>
      <c r="O28" s="35"/>
      <c r="P28" s="35"/>
      <c r="Q28" s="35"/>
      <c r="R28" s="35"/>
      <c r="S28" s="35"/>
      <c r="T28" s="35" t="str">
        <f t="shared" si="0"/>
        <v/>
      </c>
      <c r="U28" s="35"/>
      <c r="V28" s="35"/>
      <c r="W28" s="35"/>
      <c r="X28" s="35"/>
      <c r="Y28" s="35" t="str">
        <f>IF(H28="","",CONCATENATE(G28&amp;" - "&amp;H$24&amp;": "&amp;H28&amp;" - "&amp;I$24&amp;": "&amp;I28))</f>
        <v/>
      </c>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34.5" customHeight="1" x14ac:dyDescent="0.35">
      <c r="A29" s="10"/>
      <c r="B29" s="51" t="s">
        <v>43</v>
      </c>
      <c r="C29" s="46" t="s">
        <v>83</v>
      </c>
      <c r="D29" s="46" t="s">
        <v>84</v>
      </c>
      <c r="E29" s="46">
        <v>10909616</v>
      </c>
      <c r="H29" s="50"/>
      <c r="I29" s="50"/>
      <c r="J29" s="43"/>
      <c r="K29" s="35"/>
      <c r="L29" s="35"/>
      <c r="M29" s="35"/>
      <c r="N29" s="35"/>
      <c r="O29" s="35"/>
      <c r="P29" s="35"/>
      <c r="Q29" s="35"/>
      <c r="R29" s="35"/>
      <c r="S29" s="35"/>
      <c r="T29" s="35" t="str">
        <f t="shared" si="0"/>
        <v>TC 1 - Marca: BLOX - Tipo, Modelo o Referencia: HS600 (VENTANA) - Serie : 10909616</v>
      </c>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34.5" customHeight="1" x14ac:dyDescent="0.35">
      <c r="A30" s="10"/>
      <c r="B30" s="51" t="s">
        <v>45</v>
      </c>
      <c r="C30" s="46" t="s">
        <v>83</v>
      </c>
      <c r="D30" s="46" t="s">
        <v>84</v>
      </c>
      <c r="E30" s="46">
        <v>10909612</v>
      </c>
      <c r="G30" s="51" t="s">
        <v>16</v>
      </c>
      <c r="H30" s="15" t="s">
        <v>56</v>
      </c>
      <c r="I30" s="85" t="s">
        <v>57</v>
      </c>
      <c r="J30" s="85"/>
      <c r="K30" s="35"/>
      <c r="L30" s="35"/>
      <c r="M30" s="35"/>
      <c r="N30" s="35"/>
      <c r="O30" s="35"/>
      <c r="P30" s="35"/>
      <c r="Q30" s="35"/>
      <c r="R30" s="35"/>
      <c r="S30" s="35"/>
      <c r="T30" s="35" t="str">
        <f t="shared" si="0"/>
        <v>TC 2 - Marca: BLOX - Tipo, Modelo o Referencia: HS600 (VENTANA) - Serie : 10909612</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34.5" customHeight="1" x14ac:dyDescent="0.35">
      <c r="B31" s="51" t="s">
        <v>46</v>
      </c>
      <c r="C31" s="46" t="s">
        <v>83</v>
      </c>
      <c r="D31" s="46" t="s">
        <v>84</v>
      </c>
      <c r="E31" s="46">
        <v>10909619</v>
      </c>
      <c r="G31" s="26" t="s">
        <v>41</v>
      </c>
      <c r="H31" s="42"/>
      <c r="I31" s="95"/>
      <c r="J31" s="95"/>
      <c r="K31" s="35"/>
      <c r="L31" s="35"/>
      <c r="M31" s="35"/>
      <c r="N31" s="35"/>
      <c r="O31" s="35"/>
      <c r="P31" s="35"/>
      <c r="Q31" s="35"/>
      <c r="R31" s="35"/>
      <c r="S31" s="35"/>
      <c r="T31" s="35" t="str">
        <f t="shared" si="0"/>
        <v>TC 3 - Marca: BLOX - Tipo, Modelo o Referencia: HS600 (VENTANA) - Serie : 10909619</v>
      </c>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34.5" customHeight="1" x14ac:dyDescent="0.35">
      <c r="B32" s="51" t="s">
        <v>48</v>
      </c>
      <c r="C32" s="46"/>
      <c r="D32" s="46"/>
      <c r="E32" s="46"/>
      <c r="G32" s="26" t="s">
        <v>42</v>
      </c>
      <c r="H32" s="42">
        <v>4</v>
      </c>
      <c r="I32" s="95" t="s">
        <v>89</v>
      </c>
      <c r="J32" s="95"/>
      <c r="K32" s="35"/>
      <c r="L32" s="35"/>
      <c r="M32" s="35"/>
      <c r="N32" s="35"/>
      <c r="O32" s="35"/>
      <c r="P32" s="35"/>
      <c r="Q32" s="35"/>
      <c r="R32" s="35"/>
      <c r="S32" s="35"/>
      <c r="T32" s="35" t="str">
        <f t="shared" si="0"/>
        <v/>
      </c>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2" ht="34.5" customHeight="1" x14ac:dyDescent="0.35">
      <c r="B33" s="51" t="s">
        <v>49</v>
      </c>
      <c r="C33" s="45"/>
      <c r="D33" s="45"/>
      <c r="E33" s="46"/>
      <c r="J33" s="27"/>
      <c r="K33" s="35"/>
      <c r="L33" s="35"/>
      <c r="M33" s="35"/>
      <c r="N33" s="35"/>
      <c r="O33" s="35"/>
      <c r="P33" s="35"/>
      <c r="Q33" s="35"/>
      <c r="R33" s="35"/>
      <c r="S33" s="35"/>
      <c r="T33" s="35" t="str">
        <f t="shared" si="0"/>
        <v/>
      </c>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2" ht="34.5" customHeight="1" x14ac:dyDescent="0.35">
      <c r="B34" s="51" t="s">
        <v>50</v>
      </c>
      <c r="C34" s="45"/>
      <c r="D34" s="45"/>
      <c r="E34" s="2"/>
      <c r="G34" s="51" t="s">
        <v>51</v>
      </c>
      <c r="H34" s="96"/>
      <c r="I34" s="97"/>
      <c r="J34" s="97"/>
      <c r="K34" s="35"/>
      <c r="L34" s="35"/>
      <c r="M34" s="35"/>
      <c r="N34" s="35"/>
      <c r="O34" s="35"/>
      <c r="P34" s="35"/>
      <c r="Q34" s="35"/>
      <c r="R34" s="35"/>
      <c r="S34" s="35"/>
      <c r="T34" s="35" t="str">
        <f t="shared" si="0"/>
        <v/>
      </c>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2" x14ac:dyDescent="0.35">
      <c r="B35" s="8"/>
      <c r="C35" s="8"/>
      <c r="D35" s="8"/>
      <c r="E35" s="8"/>
      <c r="J35" s="27"/>
      <c r="K35" s="35"/>
      <c r="L35" s="35"/>
      <c r="M35" s="35"/>
      <c r="N35" s="35"/>
      <c r="O35" s="35"/>
      <c r="P35" s="35"/>
      <c r="Q35" s="35"/>
      <c r="R35" s="35"/>
      <c r="S35" s="35"/>
      <c r="T35" s="35" t="str">
        <f>CONCATENATE(T25&amp;"     "&amp;T26&amp;"     "&amp;T27&amp;"     "&amp;T28&amp;"     "&amp;T29&amp;"     "&amp;T30&amp;"     "&amp;T31&amp;"     "&amp;T32&amp;"     "&amp;T33&amp;"     "&amp;T34)</f>
        <v xml:space="preserve">Medidor Principal Activa Reactiva - Marca: METCOM - Tipo, Modelo o Referencia: MCS301 - Serie : 10196230                    TC 1 - Marca: BLOX - Tipo, Modelo o Referencia: HS600 (VENTANA) - Serie : 10909616     TC 2 - Marca: BLOX - Tipo, Modelo o Referencia: HS600 (VENTANA) - Serie : 10909612     TC 3 - Marca: BLOX - Tipo, Modelo o Referencia: HS600 (VENTANA) - Serie : 10909619               </v>
      </c>
      <c r="U35" s="35"/>
      <c r="V35" s="35"/>
      <c r="W35" s="35" t="str">
        <f t="shared" ref="W35:X35" si="1">CONCATENATE(W25&amp;"     "&amp;W26&amp;"     "&amp;W27&amp;"     "&amp;W28&amp;"     "&amp;W29&amp;"     "&amp;W30&amp;"     "&amp;W31&amp;"     "&amp;W32&amp;"     "&amp;W33&amp;"     "&amp;W34)</f>
        <v xml:space="preserve">                                             </v>
      </c>
      <c r="X35" s="35" t="str">
        <f t="shared" si="1"/>
        <v xml:space="preserve">                                             </v>
      </c>
      <c r="Y35" s="35" t="str">
        <f>CONCATENATE(Y25&amp;"     "&amp;Y26&amp;"     "&amp;Y27&amp;"     "&amp;Y28&amp;"     "&amp;Y29&amp;"     "&amp;Y30&amp;"     "&amp;Y31&amp;"     "&amp;Y32&amp;"     "&amp;Y33&amp;"     "&amp;Y34)</f>
        <v xml:space="preserve">Cables para señales de tension  - Marca: CENTELSA - Tipo, Modelo o Referencia: CABLE - Longitud:  - Calibre:      Cables para señales de corriente - Marca: CENTELSA - Tipo, Modelo o Referencia: CABLE - Longitud: 4 - Calibre: 12     Gabinete - Marca: UMI - Tipo, Modelo o Referencia: INT/TAB MDD CRD 500A 220V 220 080 070 OP 1201                                   </v>
      </c>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row>
    <row r="36" spans="1:52" x14ac:dyDescent="0.35">
      <c r="B36" s="8"/>
      <c r="C36" s="9"/>
      <c r="D36" s="9"/>
      <c r="E36" s="1"/>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spans="1:52" x14ac:dyDescent="0.35">
      <c r="B37" s="60" t="s">
        <v>19</v>
      </c>
      <c r="C37" s="60"/>
      <c r="D37" s="60"/>
      <c r="E37" s="60"/>
      <c r="F37" s="60"/>
      <c r="G37" s="60"/>
      <c r="H37" s="60"/>
      <c r="I37" s="60"/>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row>
    <row r="38" spans="1:52" x14ac:dyDescent="0.35">
      <c r="B38" s="48"/>
      <c r="C38" s="48"/>
      <c r="D38" s="48"/>
      <c r="E38" s="48"/>
      <c r="F38" s="48"/>
      <c r="G38" s="48"/>
      <c r="H38" s="48"/>
      <c r="I38" s="48"/>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row>
    <row r="39" spans="1:52" s="7" customFormat="1" ht="55.5" customHeight="1" x14ac:dyDescent="0.35">
      <c r="B39" s="98" t="s">
        <v>20</v>
      </c>
      <c r="C39" s="98"/>
      <c r="D39" s="52" t="s">
        <v>21</v>
      </c>
      <c r="E39" s="52" t="s">
        <v>22</v>
      </c>
      <c r="F39" s="1"/>
      <c r="G39" s="99" t="s">
        <v>23</v>
      </c>
      <c r="H39" s="100"/>
      <c r="I39" s="100"/>
      <c r="J39" s="100"/>
      <c r="K39" s="38"/>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row>
    <row r="40" spans="1:52" ht="27" customHeight="1" x14ac:dyDescent="0.35">
      <c r="B40" s="85" t="s">
        <v>24</v>
      </c>
      <c r="C40" s="85"/>
      <c r="D40" s="2"/>
      <c r="E40" s="21"/>
      <c r="F40" s="11"/>
      <c r="G40" s="49"/>
      <c r="H40" s="58"/>
      <c r="I40" s="58"/>
      <c r="J40" s="58"/>
      <c r="K40" s="39"/>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row>
    <row r="41" spans="1:52" ht="27" customHeight="1" x14ac:dyDescent="0.35">
      <c r="A41" s="50"/>
      <c r="B41" s="85" t="s">
        <v>25</v>
      </c>
      <c r="C41" s="85"/>
      <c r="D41" s="2"/>
      <c r="E41" s="21"/>
      <c r="G41" s="49" t="s">
        <v>26</v>
      </c>
      <c r="H41" s="58"/>
      <c r="I41" s="58"/>
      <c r="J41" s="58"/>
      <c r="K41" s="39"/>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spans="1:52" ht="23.25" customHeight="1" x14ac:dyDescent="0.35">
      <c r="A42" s="7"/>
      <c r="B42" s="85" t="s">
        <v>27</v>
      </c>
      <c r="C42" s="85"/>
      <c r="D42" s="2"/>
      <c r="E42" s="21"/>
      <c r="G42" s="49" t="s">
        <v>28</v>
      </c>
      <c r="H42" s="58"/>
      <c r="I42" s="58"/>
      <c r="J42" s="58"/>
      <c r="K42" s="39"/>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spans="1:52" ht="23.25" customHeight="1" x14ac:dyDescent="0.35">
      <c r="B43" s="85" t="s">
        <v>29</v>
      </c>
      <c r="C43" s="85"/>
      <c r="D43" s="2"/>
      <c r="E43" s="21"/>
      <c r="H43" s="28"/>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row>
    <row r="44" spans="1:52" ht="23.25" customHeight="1" x14ac:dyDescent="0.35">
      <c r="B44" s="85" t="s">
        <v>30</v>
      </c>
      <c r="C44" s="85"/>
      <c r="D44" s="2"/>
      <c r="E44" s="21"/>
      <c r="G44" s="86" t="s">
        <v>31</v>
      </c>
      <c r="H44" s="87"/>
      <c r="I44" s="87"/>
      <c r="J44" s="88"/>
      <c r="K44" s="40"/>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row>
    <row r="45" spans="1:52" ht="23.25" customHeight="1" x14ac:dyDescent="0.35">
      <c r="B45" s="85" t="s">
        <v>32</v>
      </c>
      <c r="C45" s="85"/>
      <c r="D45" s="2"/>
      <c r="E45" s="21"/>
      <c r="G45" s="89"/>
      <c r="H45" s="90"/>
      <c r="I45" s="90"/>
      <c r="J45" s="91"/>
      <c r="K45" s="40"/>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row>
    <row r="46" spans="1:52" x14ac:dyDescent="0.35">
      <c r="G46" s="8"/>
      <c r="H46" s="8"/>
      <c r="I46" s="8"/>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row>
    <row r="47" spans="1:52" x14ac:dyDescent="0.35">
      <c r="B47" s="60" t="s">
        <v>33</v>
      </c>
      <c r="C47" s="60"/>
      <c r="D47" s="60"/>
      <c r="E47" s="60"/>
      <c r="F47" s="60"/>
      <c r="G47" s="60"/>
      <c r="H47" s="60"/>
      <c r="I47" s="60"/>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row>
    <row r="48" spans="1:52" x14ac:dyDescent="0.35">
      <c r="G48" s="8"/>
      <c r="H48" s="8"/>
      <c r="I48" s="8"/>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row>
    <row r="49" spans="2:52" x14ac:dyDescent="0.35">
      <c r="B49" s="49" t="s">
        <v>34</v>
      </c>
      <c r="C49" s="92"/>
      <c r="D49" s="93"/>
      <c r="E49" s="93"/>
      <c r="F49" s="93"/>
      <c r="G49" s="93"/>
      <c r="H49" s="93"/>
      <c r="I49" s="93"/>
      <c r="J49" s="9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row>
    <row r="50" spans="2:52" x14ac:dyDescent="0.35">
      <c r="B50" s="49" t="s">
        <v>35</v>
      </c>
      <c r="C50" s="76"/>
      <c r="D50" s="77"/>
      <c r="E50" s="77"/>
      <c r="F50" s="77"/>
      <c r="G50" s="77"/>
      <c r="H50" s="77"/>
      <c r="I50" s="77"/>
      <c r="J50" s="78"/>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row>
    <row r="51" spans="2:52" x14ac:dyDescent="0.35">
      <c r="B51" s="49" t="s">
        <v>36</v>
      </c>
      <c r="C51" s="79"/>
      <c r="D51" s="80"/>
      <c r="E51" s="80"/>
      <c r="F51" s="80"/>
      <c r="G51" s="80"/>
      <c r="H51" s="80"/>
      <c r="I51" s="80"/>
      <c r="J51" s="81"/>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2:52" x14ac:dyDescent="0.35">
      <c r="B52" s="49" t="s">
        <v>37</v>
      </c>
      <c r="C52" s="82"/>
      <c r="D52" s="83"/>
      <c r="E52" s="83"/>
      <c r="F52" s="83"/>
      <c r="G52" s="83"/>
      <c r="H52" s="83"/>
      <c r="I52" s="83"/>
      <c r="J52" s="84"/>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row>
    <row r="53" spans="2:52" x14ac:dyDescent="0.35">
      <c r="G53" s="8"/>
      <c r="H53" s="8"/>
      <c r="I53" s="8"/>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row>
    <row r="54" spans="2:52" x14ac:dyDescent="0.35">
      <c r="G54" s="8"/>
      <c r="H54" s="8"/>
      <c r="I54" s="8"/>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row>
    <row r="55" spans="2:52" s="16" customFormat="1" ht="15" customHeight="1" x14ac:dyDescent="0.35">
      <c r="B55" s="59" t="s">
        <v>38</v>
      </c>
      <c r="C55" s="59"/>
      <c r="D55" s="47"/>
      <c r="G55" s="17"/>
      <c r="H55" s="17"/>
      <c r="I55" s="1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spans="2:52" s="16" customFormat="1" ht="7.5" customHeight="1" x14ac:dyDescent="0.35">
      <c r="B56" s="18"/>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2:52" s="16" customFormat="1" ht="15.5" x14ac:dyDescent="0.35">
      <c r="B57" s="18" t="s">
        <v>39</v>
      </c>
      <c r="C57" s="19" t="s">
        <v>76</v>
      </c>
      <c r="D57" s="19"/>
      <c r="E57" s="19"/>
      <c r="F57" s="19"/>
      <c r="G57" s="20" t="s">
        <v>40</v>
      </c>
      <c r="H57" s="19"/>
      <c r="I57" s="19"/>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2:52" x14ac:dyDescent="0.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row>
    <row r="59" spans="2:52" x14ac:dyDescent="0.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row>
  </sheetData>
  <mergeCells count="47">
    <mergeCell ref="B15:C15"/>
    <mergeCell ref="B2:I2"/>
    <mergeCell ref="B3:I3"/>
    <mergeCell ref="B4:I4"/>
    <mergeCell ref="B7:J7"/>
    <mergeCell ref="B8:C8"/>
    <mergeCell ref="B9:C9"/>
    <mergeCell ref="B10:C10"/>
    <mergeCell ref="B11:C11"/>
    <mergeCell ref="B12:C12"/>
    <mergeCell ref="B13:C13"/>
    <mergeCell ref="B14:C14"/>
    <mergeCell ref="I30:J30"/>
    <mergeCell ref="B16:C16"/>
    <mergeCell ref="D16:E16"/>
    <mergeCell ref="G16:H16"/>
    <mergeCell ref="B18:J18"/>
    <mergeCell ref="B20:J20"/>
    <mergeCell ref="B23:E23"/>
    <mergeCell ref="G23:J23"/>
    <mergeCell ref="I24:J24"/>
    <mergeCell ref="I25:J25"/>
    <mergeCell ref="I26:J26"/>
    <mergeCell ref="I27:J27"/>
    <mergeCell ref="I28:J28"/>
    <mergeCell ref="I31:J31"/>
    <mergeCell ref="I32:J32"/>
    <mergeCell ref="H34:J34"/>
    <mergeCell ref="B37:I37"/>
    <mergeCell ref="B39:C39"/>
    <mergeCell ref="G39:J39"/>
    <mergeCell ref="B40:C40"/>
    <mergeCell ref="H40:J40"/>
    <mergeCell ref="B41:C41"/>
    <mergeCell ref="H41:J41"/>
    <mergeCell ref="B42:C42"/>
    <mergeCell ref="H42:J42"/>
    <mergeCell ref="C50:J50"/>
    <mergeCell ref="C51:J51"/>
    <mergeCell ref="C52:J52"/>
    <mergeCell ref="B55:C55"/>
    <mergeCell ref="B43:C43"/>
    <mergeCell ref="B44:C44"/>
    <mergeCell ref="G44:J45"/>
    <mergeCell ref="B45:C45"/>
    <mergeCell ref="B47:I47"/>
    <mergeCell ref="C49:J49"/>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3</xdr:col>
                    <xdr:colOff>38100</xdr:colOff>
                    <xdr:row>15</xdr:row>
                    <xdr:rowOff>69850</xdr:rowOff>
                  </from>
                  <to>
                    <xdr:col>3</xdr:col>
                    <xdr:colOff>241300</xdr:colOff>
                    <xdr:row>15</xdr:row>
                    <xdr:rowOff>241300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3</xdr:col>
                    <xdr:colOff>1612900</xdr:colOff>
                    <xdr:row>15</xdr:row>
                    <xdr:rowOff>76200</xdr:rowOff>
                  </from>
                  <to>
                    <xdr:col>4</xdr:col>
                    <xdr:colOff>50800</xdr:colOff>
                    <xdr:row>15</xdr:row>
                    <xdr:rowOff>247650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8</xdr:col>
                    <xdr:colOff>31750</xdr:colOff>
                    <xdr:row>15</xdr:row>
                    <xdr:rowOff>88900</xdr:rowOff>
                  </from>
                  <to>
                    <xdr:col>8</xdr:col>
                    <xdr:colOff>228600</xdr:colOff>
                    <xdr:row>15</xdr:row>
                    <xdr:rowOff>260350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8</xdr:col>
                    <xdr:colOff>819150</xdr:colOff>
                    <xdr:row>15</xdr:row>
                    <xdr:rowOff>88900</xdr:rowOff>
                  </from>
                  <to>
                    <xdr:col>8</xdr:col>
                    <xdr:colOff>1022350</xdr:colOff>
                    <xdr:row>15</xdr:row>
                    <xdr:rowOff>260350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5694-24CA-459F-A87D-50C268B61EC8}">
  <dimension ref="A2:AZ59"/>
  <sheetViews>
    <sheetView showGridLines="0" topLeftCell="A26" zoomScale="80" zoomScaleNormal="80" workbookViewId="0">
      <selection activeCell="E32" sqref="E32"/>
    </sheetView>
  </sheetViews>
  <sheetFormatPr baseColWidth="10" defaultColWidth="11.453125" defaultRowHeight="13.5" x14ac:dyDescent="0.35"/>
  <cols>
    <col min="1" max="1" width="4.54296875" style="3" customWidth="1"/>
    <col min="2" max="2" width="23.453125" style="7" customWidth="1"/>
    <col min="3" max="3" width="20" style="3" customWidth="1"/>
    <col min="4" max="5" width="26.453125" style="3" customWidth="1"/>
    <col min="6" max="6" width="6.54296875" style="3" customWidth="1"/>
    <col min="7" max="7" width="24.1796875" style="3" customWidth="1"/>
    <col min="8" max="8" width="25.1796875" style="3" customWidth="1"/>
    <col min="9" max="9" width="29.453125" style="3" customWidth="1"/>
    <col min="10" max="10" width="22.453125" style="3" customWidth="1"/>
    <col min="11" max="16384" width="11.453125" style="3"/>
  </cols>
  <sheetData>
    <row r="2" spans="2:50" ht="20.5" x14ac:dyDescent="0.35">
      <c r="B2" s="62" t="s">
        <v>0</v>
      </c>
      <c r="C2" s="62"/>
      <c r="D2" s="62"/>
      <c r="E2" s="62"/>
      <c r="F2" s="62"/>
      <c r="G2" s="62"/>
      <c r="H2" s="62"/>
      <c r="I2" s="62"/>
    </row>
    <row r="3" spans="2:50" ht="20.5" x14ac:dyDescent="0.35">
      <c r="B3" s="62" t="s">
        <v>52</v>
      </c>
      <c r="C3" s="62"/>
      <c r="D3" s="62"/>
      <c r="E3" s="62"/>
      <c r="F3" s="62"/>
      <c r="G3" s="62"/>
      <c r="H3" s="62"/>
      <c r="I3" s="62"/>
    </row>
    <row r="4" spans="2:50" ht="15.5" x14ac:dyDescent="0.35">
      <c r="B4" s="63" t="s">
        <v>53</v>
      </c>
      <c r="C4" s="63"/>
      <c r="D4" s="63"/>
      <c r="E4" s="63"/>
      <c r="F4" s="63"/>
      <c r="G4" s="63"/>
      <c r="H4" s="63"/>
      <c r="I4" s="63"/>
    </row>
    <row r="5" spans="2:50" x14ac:dyDescent="0.35">
      <c r="B5" s="50"/>
    </row>
    <row r="7" spans="2:50" ht="28.5" customHeight="1" x14ac:dyDescent="0.35">
      <c r="B7" s="64" t="s">
        <v>1</v>
      </c>
      <c r="C7" s="64"/>
      <c r="D7" s="64"/>
      <c r="E7" s="64"/>
      <c r="F7" s="64"/>
      <c r="G7" s="64"/>
      <c r="H7" s="64"/>
      <c r="I7" s="64"/>
      <c r="J7" s="64"/>
    </row>
    <row r="8" spans="2:50" ht="24.75" customHeight="1" x14ac:dyDescent="0.35">
      <c r="B8" s="61" t="s">
        <v>2</v>
      </c>
      <c r="C8" s="61"/>
      <c r="D8" s="14">
        <v>46087</v>
      </c>
      <c r="E8" s="14"/>
      <c r="F8" s="14"/>
      <c r="G8" s="14"/>
      <c r="H8" s="14"/>
      <c r="I8" s="14"/>
      <c r="J8" s="14"/>
    </row>
    <row r="9" spans="2:50" ht="24.75" customHeight="1" x14ac:dyDescent="0.35">
      <c r="B9" s="61" t="s">
        <v>3</v>
      </c>
      <c r="C9" s="61" t="s">
        <v>4</v>
      </c>
      <c r="D9" s="41" t="s">
        <v>72</v>
      </c>
      <c r="E9" s="14"/>
      <c r="F9" s="14"/>
      <c r="G9" s="14"/>
      <c r="H9" s="14"/>
      <c r="I9" s="14"/>
      <c r="J9" s="14"/>
    </row>
    <row r="10" spans="2:50" ht="24.75" customHeight="1" x14ac:dyDescent="0.35">
      <c r="B10" s="61" t="s">
        <v>58</v>
      </c>
      <c r="C10" s="61" t="s">
        <v>5</v>
      </c>
      <c r="D10" s="41" t="s">
        <v>73</v>
      </c>
      <c r="E10" s="14"/>
      <c r="F10" s="14"/>
      <c r="G10" s="14"/>
      <c r="H10" s="14"/>
      <c r="I10" s="14"/>
      <c r="J10" s="14"/>
    </row>
    <row r="11" spans="2:50" ht="24.75" customHeight="1" x14ac:dyDescent="0.35">
      <c r="B11" s="61" t="s">
        <v>6</v>
      </c>
      <c r="C11" s="61">
        <v>890800252</v>
      </c>
      <c r="D11" s="41" t="s">
        <v>80</v>
      </c>
      <c r="E11" s="14"/>
      <c r="F11" s="14"/>
      <c r="G11" s="14"/>
      <c r="H11" s="14"/>
      <c r="I11" s="14"/>
      <c r="J11" s="14"/>
    </row>
    <row r="12" spans="2:50" ht="24.75" customHeight="1" x14ac:dyDescent="0.35">
      <c r="B12" s="61" t="s">
        <v>7</v>
      </c>
      <c r="C12" s="61" t="s">
        <v>8</v>
      </c>
      <c r="D12" s="41" t="s">
        <v>74</v>
      </c>
      <c r="E12" s="14"/>
      <c r="F12" s="14"/>
      <c r="G12" s="14"/>
      <c r="H12" s="14"/>
      <c r="I12" s="14"/>
      <c r="J12" s="14"/>
    </row>
    <row r="13" spans="2:50" ht="24.75" customHeight="1" x14ac:dyDescent="0.35">
      <c r="B13" s="61" t="s">
        <v>61</v>
      </c>
      <c r="C13" s="61">
        <v>82401</v>
      </c>
      <c r="D13" s="41" t="s">
        <v>81</v>
      </c>
      <c r="E13" s="14"/>
      <c r="F13" s="14"/>
      <c r="G13" s="14"/>
      <c r="H13" s="14"/>
      <c r="I13" s="14"/>
      <c r="J13" s="14"/>
    </row>
    <row r="14" spans="2:50" ht="24.75" customHeight="1" x14ac:dyDescent="0.35">
      <c r="B14" s="61" t="s">
        <v>9</v>
      </c>
      <c r="C14" s="61"/>
      <c r="D14" s="41" t="s">
        <v>82</v>
      </c>
      <c r="E14" s="14"/>
      <c r="F14" s="14"/>
      <c r="G14" s="14"/>
      <c r="H14" s="14"/>
      <c r="I14" s="14"/>
      <c r="J14" s="14"/>
    </row>
    <row r="15" spans="2:50" ht="24.75" customHeight="1" x14ac:dyDescent="0.35">
      <c r="B15" s="61" t="s">
        <v>10</v>
      </c>
      <c r="C15" s="61"/>
      <c r="D15" s="41" t="s">
        <v>75</v>
      </c>
      <c r="E15" s="14"/>
      <c r="F15" s="14"/>
      <c r="G15" s="14"/>
      <c r="H15" s="14"/>
      <c r="I15" s="14"/>
      <c r="J15" s="14"/>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2:50" ht="27" customHeight="1" x14ac:dyDescent="0.35">
      <c r="B16" s="61" t="s">
        <v>59</v>
      </c>
      <c r="C16" s="61"/>
      <c r="D16" s="101" t="s">
        <v>66</v>
      </c>
      <c r="E16" s="101"/>
      <c r="F16" s="13"/>
      <c r="G16" s="61" t="s">
        <v>67</v>
      </c>
      <c r="H16" s="61"/>
      <c r="I16" s="34" t="s">
        <v>65</v>
      </c>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4.25" customHeight="1" x14ac:dyDescent="0.35">
      <c r="B17" s="48"/>
      <c r="C17" s="48"/>
      <c r="D17" s="13"/>
      <c r="E17" s="13"/>
      <c r="F17" s="13"/>
      <c r="G17" s="13"/>
      <c r="H17" s="13"/>
      <c r="I17" s="1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28.5" customHeight="1" x14ac:dyDescent="0.35">
      <c r="B18" s="64" t="s">
        <v>11</v>
      </c>
      <c r="C18" s="64"/>
      <c r="D18" s="64"/>
      <c r="E18" s="64"/>
      <c r="F18" s="64"/>
      <c r="G18" s="64"/>
      <c r="H18" s="64"/>
      <c r="I18" s="64"/>
      <c r="J18" s="64"/>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9.75" customHeight="1" x14ac:dyDescent="0.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37.5" customHeight="1" x14ac:dyDescent="0.35">
      <c r="B20" s="60" t="s">
        <v>62</v>
      </c>
      <c r="C20" s="60"/>
      <c r="D20" s="60"/>
      <c r="E20" s="60"/>
      <c r="F20" s="60"/>
      <c r="G20" s="60"/>
      <c r="H20" s="60"/>
      <c r="I20" s="60"/>
      <c r="J20" s="6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9.75" customHeight="1" x14ac:dyDescent="0.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9.75" customHeight="1" x14ac:dyDescent="0.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27" customHeight="1" x14ac:dyDescent="0.35">
      <c r="B23" s="65" t="s">
        <v>104</v>
      </c>
      <c r="C23" s="65"/>
      <c r="D23" s="65"/>
      <c r="E23" s="65"/>
      <c r="G23" s="65" t="s">
        <v>12</v>
      </c>
      <c r="H23" s="65"/>
      <c r="I23" s="65"/>
      <c r="J23" s="6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30" customHeight="1" x14ac:dyDescent="0.35">
      <c r="B24" s="51" t="s">
        <v>13</v>
      </c>
      <c r="C24" s="51" t="s">
        <v>14</v>
      </c>
      <c r="D24" s="51" t="s">
        <v>55</v>
      </c>
      <c r="E24" s="51" t="s">
        <v>15</v>
      </c>
      <c r="F24" s="50"/>
      <c r="G24" s="29" t="s">
        <v>16</v>
      </c>
      <c r="H24" s="30" t="s">
        <v>14</v>
      </c>
      <c r="I24" s="85" t="s">
        <v>55</v>
      </c>
      <c r="J24" s="8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34.5" customHeight="1" x14ac:dyDescent="0.35">
      <c r="A25" s="10"/>
      <c r="B25" s="51" t="s">
        <v>70</v>
      </c>
      <c r="C25" s="46" t="s">
        <v>85</v>
      </c>
      <c r="D25" s="46" t="s">
        <v>94</v>
      </c>
      <c r="E25" s="46">
        <v>10196229</v>
      </c>
      <c r="G25" s="26" t="s">
        <v>41</v>
      </c>
      <c r="H25" s="56" t="s">
        <v>87</v>
      </c>
      <c r="K25" s="35"/>
      <c r="L25" s="35"/>
      <c r="M25" s="35"/>
      <c r="N25" s="35"/>
      <c r="O25" s="35"/>
      <c r="P25" s="35"/>
      <c r="Q25" s="35"/>
      <c r="R25" s="35"/>
      <c r="S25" s="35"/>
      <c r="T25" s="35" t="str">
        <f t="shared" ref="T25:T34" si="0">IF(C25="","",CONCATENATE(B25&amp;" - "&amp;C$24&amp;": "&amp;C25&amp;" - "&amp;D$24&amp;": "&amp;D25&amp;" - "&amp;E$24&amp;": "&amp;E25))</f>
        <v>Medidor Principal Activa Reactiva - Marca: METCOM - Tipo, Modelo o Referencia: MCS301 - Serie : 10196229</v>
      </c>
      <c r="U25" s="35"/>
      <c r="V25" s="35"/>
      <c r="W25" s="35"/>
      <c r="X25" s="35"/>
      <c r="Y25" s="35" t="str">
        <f>IF(H25="","",CONCATENATE(G25&amp;" - "&amp;H$24&amp;": "&amp;H25&amp;" - "&amp;I$24&amp;": "&amp;I27&amp;" - "&amp;H$30&amp;": "&amp;H31&amp;" - "&amp;I$30&amp;": "&amp;I31))</f>
        <v xml:space="preserve">Cables para señales de tension  - Marca: CENTELSA - Tipo, Modelo o Referencia: INT/TAB TRF CRD 1000A 220V 220 190 070 OP 1583 - Longitud:  - Calibre: </v>
      </c>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34.5" customHeight="1" x14ac:dyDescent="0.35">
      <c r="A26" s="10"/>
      <c r="B26" s="51"/>
      <c r="C26" s="46"/>
      <c r="D26" s="46"/>
      <c r="E26" s="46"/>
      <c r="G26" s="26" t="s">
        <v>42</v>
      </c>
      <c r="H26" s="42" t="s">
        <v>95</v>
      </c>
      <c r="I26" s="95"/>
      <c r="J26" s="95"/>
      <c r="K26" s="35"/>
      <c r="L26" s="35"/>
      <c r="M26" s="35"/>
      <c r="N26" s="35"/>
      <c r="O26" s="35"/>
      <c r="P26" s="35"/>
      <c r="Q26" s="35"/>
      <c r="R26" s="35"/>
      <c r="S26" s="35"/>
      <c r="T26" s="35" t="str">
        <f t="shared" si="0"/>
        <v/>
      </c>
      <c r="U26" s="35"/>
      <c r="V26" s="35"/>
      <c r="W26" s="35"/>
      <c r="X26" s="35"/>
      <c r="Y26" s="35" t="str">
        <f>IF(H26="","",CONCATENATE(G26&amp;" - "&amp;H$24&amp;": "&amp;H26&amp;" - "&amp;I$24&amp;": "&amp;I26&amp;" - "&amp;H$30&amp;": "&amp;H32&amp;" - "&amp;I$30&amp;": "&amp;I32))</f>
        <v>Cables para señales de corriente - Marca: CENCELSA - Tipo, Modelo o Referencia:  - Longitud: 4 - Calibre: 12</v>
      </c>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34.5" customHeight="1" x14ac:dyDescent="0.35">
      <c r="A27" s="10"/>
      <c r="B27" s="51" t="s">
        <v>71</v>
      </c>
      <c r="C27" s="46"/>
      <c r="D27" s="46"/>
      <c r="E27" s="46"/>
      <c r="G27" s="26" t="s">
        <v>44</v>
      </c>
      <c r="H27" s="42" t="s">
        <v>77</v>
      </c>
      <c r="I27" s="102" t="s">
        <v>98</v>
      </c>
      <c r="J27" s="102"/>
      <c r="K27" s="35"/>
      <c r="L27" s="35"/>
      <c r="M27" s="35"/>
      <c r="N27" s="35"/>
      <c r="O27" s="35"/>
      <c r="P27" s="35"/>
      <c r="Q27" s="35"/>
      <c r="R27" s="35"/>
      <c r="S27" s="35"/>
      <c r="T27" s="35" t="str">
        <f t="shared" si="0"/>
        <v/>
      </c>
      <c r="U27" s="35"/>
      <c r="V27" s="35"/>
      <c r="W27" s="35"/>
      <c r="X27" s="35"/>
      <c r="Y27" s="35" t="e">
        <f>IF(H27="","",CONCATENATE(G27&amp;" - "&amp;H$24&amp;": "&amp;H27&amp;" - "&amp;I$24&amp;": "&amp;#REF!))</f>
        <v>#REF!</v>
      </c>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34.5" customHeight="1" x14ac:dyDescent="0.35">
      <c r="A28" s="10"/>
      <c r="B28" s="51"/>
      <c r="C28" s="46"/>
      <c r="D28" s="46"/>
      <c r="E28" s="46"/>
      <c r="G28" s="26" t="s">
        <v>47</v>
      </c>
      <c r="H28" s="42"/>
      <c r="I28" s="95"/>
      <c r="J28" s="95"/>
      <c r="K28" s="35"/>
      <c r="L28" s="35"/>
      <c r="M28" s="35"/>
      <c r="N28" s="35"/>
      <c r="O28" s="35"/>
      <c r="P28" s="35"/>
      <c r="Q28" s="35"/>
      <c r="R28" s="35"/>
      <c r="S28" s="35"/>
      <c r="T28" s="35" t="str">
        <f t="shared" si="0"/>
        <v/>
      </c>
      <c r="U28" s="35"/>
      <c r="V28" s="35"/>
      <c r="W28" s="35"/>
      <c r="X28" s="35"/>
      <c r="Y28" s="35" t="str">
        <f>IF(H28="","",CONCATENATE(G28&amp;" - "&amp;H$24&amp;": "&amp;H28&amp;" - "&amp;I$24&amp;": "&amp;I28))</f>
        <v/>
      </c>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34.5" customHeight="1" x14ac:dyDescent="0.35">
      <c r="A29" s="10"/>
      <c r="B29" s="51" t="s">
        <v>43</v>
      </c>
      <c r="C29" s="46" t="s">
        <v>91</v>
      </c>
      <c r="D29" s="46" t="s">
        <v>92</v>
      </c>
      <c r="E29" s="55">
        <v>20250901313</v>
      </c>
      <c r="H29" s="50"/>
      <c r="I29" s="50"/>
      <c r="J29" s="43"/>
      <c r="K29" s="35"/>
      <c r="L29" s="35"/>
      <c r="M29" s="35"/>
      <c r="N29" s="35"/>
      <c r="O29" s="35"/>
      <c r="P29" s="35"/>
      <c r="Q29" s="35"/>
      <c r="R29" s="35"/>
      <c r="S29" s="35"/>
      <c r="T29" s="35" t="str">
        <f t="shared" si="0"/>
        <v>TC 1 - Marca: RYMEL - Tipo, Modelo o Referencia: TCIV(VENTANA) - Serie : 20250901313</v>
      </c>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34.5" customHeight="1" x14ac:dyDescent="0.35">
      <c r="A30" s="10"/>
      <c r="B30" s="51" t="s">
        <v>45</v>
      </c>
      <c r="C30" s="55" t="s">
        <v>91</v>
      </c>
      <c r="D30" s="55" t="s">
        <v>92</v>
      </c>
      <c r="E30" s="55">
        <v>20250901314</v>
      </c>
      <c r="G30" s="51" t="s">
        <v>16</v>
      </c>
      <c r="H30" s="15" t="s">
        <v>56</v>
      </c>
      <c r="I30" s="85" t="s">
        <v>57</v>
      </c>
      <c r="J30" s="85"/>
      <c r="K30" s="35"/>
      <c r="L30" s="35"/>
      <c r="M30" s="35"/>
      <c r="N30" s="35"/>
      <c r="O30" s="35"/>
      <c r="P30" s="35"/>
      <c r="Q30" s="35"/>
      <c r="R30" s="35"/>
      <c r="S30" s="35"/>
      <c r="T30" s="35" t="str">
        <f t="shared" si="0"/>
        <v>TC 2 - Marca: RYMEL - Tipo, Modelo o Referencia: TCIV(VENTANA) - Serie : 20250901314</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34.5" customHeight="1" x14ac:dyDescent="0.35">
      <c r="B31" s="51" t="s">
        <v>46</v>
      </c>
      <c r="C31" s="55" t="s">
        <v>91</v>
      </c>
      <c r="D31" s="55" t="s">
        <v>92</v>
      </c>
      <c r="E31" s="55">
        <v>20250901315</v>
      </c>
      <c r="G31" s="26" t="s">
        <v>41</v>
      </c>
      <c r="H31" s="42"/>
      <c r="I31" s="95"/>
      <c r="J31" s="95"/>
      <c r="K31" s="35"/>
      <c r="L31" s="35"/>
      <c r="M31" s="35"/>
      <c r="N31" s="35"/>
      <c r="O31" s="35"/>
      <c r="P31" s="35"/>
      <c r="Q31" s="35"/>
      <c r="R31" s="35"/>
      <c r="S31" s="35"/>
      <c r="T31" s="35" t="str">
        <f t="shared" si="0"/>
        <v>TC 3 - Marca: RYMEL - Tipo, Modelo o Referencia: TCIV(VENTANA) - Serie : 20250901315</v>
      </c>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34.5" customHeight="1" x14ac:dyDescent="0.35">
      <c r="B32" s="51" t="s">
        <v>48</v>
      </c>
      <c r="C32" s="46"/>
      <c r="D32" s="46"/>
      <c r="E32" s="46"/>
      <c r="G32" s="26" t="s">
        <v>42</v>
      </c>
      <c r="H32" s="42">
        <v>4</v>
      </c>
      <c r="I32" s="95" t="s">
        <v>89</v>
      </c>
      <c r="J32" s="95"/>
      <c r="K32" s="35"/>
      <c r="L32" s="35"/>
      <c r="M32" s="35"/>
      <c r="N32" s="35"/>
      <c r="O32" s="35"/>
      <c r="P32" s="35"/>
      <c r="Q32" s="35"/>
      <c r="R32" s="35"/>
      <c r="S32" s="35"/>
      <c r="T32" s="35" t="str">
        <f t="shared" si="0"/>
        <v/>
      </c>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2" ht="34.5" customHeight="1" x14ac:dyDescent="0.35">
      <c r="B33" s="51" t="s">
        <v>49</v>
      </c>
      <c r="C33" s="45"/>
      <c r="D33" s="45"/>
      <c r="E33" s="46"/>
      <c r="J33" s="27"/>
      <c r="K33" s="35"/>
      <c r="L33" s="35"/>
      <c r="M33" s="35"/>
      <c r="N33" s="35"/>
      <c r="O33" s="35"/>
      <c r="P33" s="35"/>
      <c r="Q33" s="35"/>
      <c r="R33" s="35"/>
      <c r="S33" s="35"/>
      <c r="T33" s="35" t="str">
        <f t="shared" si="0"/>
        <v/>
      </c>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2" ht="34.5" customHeight="1" x14ac:dyDescent="0.35">
      <c r="B34" s="51" t="s">
        <v>50</v>
      </c>
      <c r="C34" s="45"/>
      <c r="D34" s="45"/>
      <c r="E34" s="2"/>
      <c r="G34" s="51" t="s">
        <v>51</v>
      </c>
      <c r="H34" s="96"/>
      <c r="I34" s="97"/>
      <c r="J34" s="97"/>
      <c r="K34" s="35"/>
      <c r="L34" s="35"/>
      <c r="M34" s="35"/>
      <c r="N34" s="35"/>
      <c r="O34" s="35"/>
      <c r="P34" s="35"/>
      <c r="Q34" s="35"/>
      <c r="R34" s="35"/>
      <c r="S34" s="35"/>
      <c r="T34" s="35" t="str">
        <f t="shared" si="0"/>
        <v/>
      </c>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2" x14ac:dyDescent="0.35">
      <c r="B35" s="8"/>
      <c r="C35" s="8"/>
      <c r="D35" s="8"/>
      <c r="E35" s="8"/>
      <c r="J35" s="27"/>
      <c r="K35" s="35"/>
      <c r="L35" s="35"/>
      <c r="M35" s="35"/>
      <c r="N35" s="35"/>
      <c r="O35" s="35"/>
      <c r="P35" s="35"/>
      <c r="Q35" s="35"/>
      <c r="R35" s="35"/>
      <c r="S35" s="35"/>
      <c r="T35" s="35" t="str">
        <f>CONCATENATE(T25&amp;"     "&amp;T26&amp;"     "&amp;T27&amp;"     "&amp;T28&amp;"     "&amp;T29&amp;"     "&amp;T30&amp;"     "&amp;T31&amp;"     "&amp;T32&amp;"     "&amp;T33&amp;"     "&amp;T34)</f>
        <v xml:space="preserve">Medidor Principal Activa Reactiva - Marca: METCOM - Tipo, Modelo o Referencia: MCS301 - Serie : 10196229                    TC 1 - Marca: RYMEL - Tipo, Modelo o Referencia: TCIV(VENTANA) - Serie : 20250901313     TC 2 - Marca: RYMEL - Tipo, Modelo o Referencia: TCIV(VENTANA) - Serie : 20250901314     TC 3 - Marca: RYMEL - Tipo, Modelo o Referencia: TCIV(VENTANA) - Serie : 20250901315               </v>
      </c>
      <c r="U35" s="35"/>
      <c r="V35" s="35"/>
      <c r="W35" s="35" t="str">
        <f t="shared" ref="W35:X35" si="1">CONCATENATE(W25&amp;"     "&amp;W26&amp;"     "&amp;W27&amp;"     "&amp;W28&amp;"     "&amp;W29&amp;"     "&amp;W30&amp;"     "&amp;W31&amp;"     "&amp;W32&amp;"     "&amp;W33&amp;"     "&amp;W34)</f>
        <v xml:space="preserve">                                             </v>
      </c>
      <c r="X35" s="35" t="str">
        <f t="shared" si="1"/>
        <v xml:space="preserve">                                             </v>
      </c>
      <c r="Y35" s="35" t="e">
        <f>CONCATENATE(Y25&amp;"     "&amp;Y26&amp;"     "&amp;Y27&amp;"     "&amp;Y28&amp;"     "&amp;Y29&amp;"     "&amp;Y30&amp;"     "&amp;Y31&amp;"     "&amp;Y32&amp;"     "&amp;Y33&amp;"     "&amp;Y34)</f>
        <v>#REF!</v>
      </c>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row>
    <row r="36" spans="1:52" x14ac:dyDescent="0.35">
      <c r="B36" s="8"/>
      <c r="C36" s="9"/>
      <c r="D36" s="9"/>
      <c r="E36" s="1"/>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spans="1:52" x14ac:dyDescent="0.35">
      <c r="B37" s="60" t="s">
        <v>19</v>
      </c>
      <c r="C37" s="60"/>
      <c r="D37" s="60"/>
      <c r="E37" s="60"/>
      <c r="F37" s="60"/>
      <c r="G37" s="60"/>
      <c r="H37" s="60"/>
      <c r="I37" s="60"/>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row>
    <row r="38" spans="1:52" x14ac:dyDescent="0.35">
      <c r="B38" s="48"/>
      <c r="C38" s="48"/>
      <c r="D38" s="48"/>
      <c r="E38" s="48"/>
      <c r="F38" s="48"/>
      <c r="G38" s="48"/>
      <c r="H38" s="48"/>
      <c r="I38" s="48"/>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row>
    <row r="39" spans="1:52" s="7" customFormat="1" ht="55.5" customHeight="1" x14ac:dyDescent="0.35">
      <c r="B39" s="98" t="s">
        <v>20</v>
      </c>
      <c r="C39" s="98"/>
      <c r="D39" s="52" t="s">
        <v>21</v>
      </c>
      <c r="E39" s="52" t="s">
        <v>22</v>
      </c>
      <c r="F39" s="1"/>
      <c r="G39" s="99" t="s">
        <v>23</v>
      </c>
      <c r="H39" s="100"/>
      <c r="I39" s="100"/>
      <c r="J39" s="100"/>
      <c r="K39" s="38"/>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row>
    <row r="40" spans="1:52" ht="27" customHeight="1" x14ac:dyDescent="0.35">
      <c r="B40" s="85" t="s">
        <v>24</v>
      </c>
      <c r="C40" s="85"/>
      <c r="D40" s="2"/>
      <c r="E40" s="21"/>
      <c r="F40" s="11"/>
      <c r="G40" s="49"/>
      <c r="H40" s="58"/>
      <c r="I40" s="58"/>
      <c r="J40" s="58"/>
      <c r="K40" s="39"/>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row>
    <row r="41" spans="1:52" ht="27" customHeight="1" x14ac:dyDescent="0.35">
      <c r="A41" s="50"/>
      <c r="B41" s="85" t="s">
        <v>25</v>
      </c>
      <c r="C41" s="85"/>
      <c r="D41" s="2"/>
      <c r="E41" s="21"/>
      <c r="G41" s="49" t="s">
        <v>26</v>
      </c>
      <c r="H41" s="58"/>
      <c r="I41" s="58"/>
      <c r="J41" s="58"/>
      <c r="K41" s="39"/>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spans="1:52" ht="23.25" customHeight="1" x14ac:dyDescent="0.35">
      <c r="A42" s="7"/>
      <c r="B42" s="85" t="s">
        <v>27</v>
      </c>
      <c r="C42" s="85"/>
      <c r="D42" s="2"/>
      <c r="E42" s="21"/>
      <c r="G42" s="49" t="s">
        <v>28</v>
      </c>
      <c r="H42" s="58"/>
      <c r="I42" s="58"/>
      <c r="J42" s="58"/>
      <c r="K42" s="39"/>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spans="1:52" ht="23.25" customHeight="1" x14ac:dyDescent="0.35">
      <c r="B43" s="85" t="s">
        <v>29</v>
      </c>
      <c r="C43" s="85"/>
      <c r="D43" s="2"/>
      <c r="E43" s="21"/>
      <c r="H43" s="28"/>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row>
    <row r="44" spans="1:52" ht="23.25" customHeight="1" x14ac:dyDescent="0.35">
      <c r="B44" s="85" t="s">
        <v>30</v>
      </c>
      <c r="C44" s="85"/>
      <c r="D44" s="2"/>
      <c r="E44" s="21"/>
      <c r="G44" s="86" t="s">
        <v>31</v>
      </c>
      <c r="H44" s="87"/>
      <c r="I44" s="87"/>
      <c r="J44" s="88"/>
      <c r="K44" s="40"/>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row>
    <row r="45" spans="1:52" ht="23.25" customHeight="1" x14ac:dyDescent="0.35">
      <c r="B45" s="85" t="s">
        <v>32</v>
      </c>
      <c r="C45" s="85"/>
      <c r="D45" s="2"/>
      <c r="E45" s="21"/>
      <c r="G45" s="89"/>
      <c r="H45" s="90"/>
      <c r="I45" s="90"/>
      <c r="J45" s="91"/>
      <c r="K45" s="40"/>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row>
    <row r="46" spans="1:52" x14ac:dyDescent="0.35">
      <c r="G46" s="8"/>
      <c r="H46" s="8"/>
      <c r="I46" s="8"/>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row>
    <row r="47" spans="1:52" x14ac:dyDescent="0.35">
      <c r="B47" s="60" t="s">
        <v>33</v>
      </c>
      <c r="C47" s="60"/>
      <c r="D47" s="60"/>
      <c r="E47" s="60"/>
      <c r="F47" s="60"/>
      <c r="G47" s="60"/>
      <c r="H47" s="60"/>
      <c r="I47" s="60"/>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row>
    <row r="48" spans="1:52" x14ac:dyDescent="0.35">
      <c r="G48" s="8"/>
      <c r="H48" s="8"/>
      <c r="I48" s="8"/>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row>
    <row r="49" spans="2:52" x14ac:dyDescent="0.35">
      <c r="B49" s="49" t="s">
        <v>34</v>
      </c>
      <c r="C49" s="92"/>
      <c r="D49" s="93"/>
      <c r="E49" s="93"/>
      <c r="F49" s="93"/>
      <c r="G49" s="93"/>
      <c r="H49" s="93"/>
      <c r="I49" s="93"/>
      <c r="J49" s="9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row>
    <row r="50" spans="2:52" x14ac:dyDescent="0.35">
      <c r="B50" s="49" t="s">
        <v>35</v>
      </c>
      <c r="C50" s="76"/>
      <c r="D50" s="77"/>
      <c r="E50" s="77"/>
      <c r="F50" s="77"/>
      <c r="G50" s="77"/>
      <c r="H50" s="77"/>
      <c r="I50" s="77"/>
      <c r="J50" s="78"/>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row>
    <row r="51" spans="2:52" x14ac:dyDescent="0.35">
      <c r="B51" s="49" t="s">
        <v>36</v>
      </c>
      <c r="C51" s="79"/>
      <c r="D51" s="80"/>
      <c r="E51" s="80"/>
      <c r="F51" s="80"/>
      <c r="G51" s="80"/>
      <c r="H51" s="80"/>
      <c r="I51" s="80"/>
      <c r="J51" s="81"/>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2:52" x14ac:dyDescent="0.35">
      <c r="B52" s="49" t="s">
        <v>37</v>
      </c>
      <c r="C52" s="82"/>
      <c r="D52" s="83"/>
      <c r="E52" s="83"/>
      <c r="F52" s="83"/>
      <c r="G52" s="83"/>
      <c r="H52" s="83"/>
      <c r="I52" s="83"/>
      <c r="J52" s="84"/>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row>
    <row r="53" spans="2:52" x14ac:dyDescent="0.35">
      <c r="G53" s="8"/>
      <c r="H53" s="8"/>
      <c r="I53" s="8"/>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row>
    <row r="54" spans="2:52" x14ac:dyDescent="0.35">
      <c r="G54" s="8"/>
      <c r="H54" s="8"/>
      <c r="I54" s="8"/>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row>
    <row r="55" spans="2:52" s="16" customFormat="1" ht="15" customHeight="1" x14ac:dyDescent="0.35">
      <c r="B55" s="59" t="s">
        <v>38</v>
      </c>
      <c r="C55" s="59"/>
      <c r="D55" s="47"/>
      <c r="G55" s="17"/>
      <c r="H55" s="17"/>
      <c r="I55" s="1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spans="2:52" s="16" customFormat="1" ht="7.5" customHeight="1" x14ac:dyDescent="0.35">
      <c r="B56" s="18"/>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2:52" s="16" customFormat="1" ht="15.5" x14ac:dyDescent="0.35">
      <c r="B57" s="18" t="s">
        <v>39</v>
      </c>
      <c r="C57" s="19" t="s">
        <v>76</v>
      </c>
      <c r="D57" s="19"/>
      <c r="E57" s="19"/>
      <c r="F57" s="19"/>
      <c r="G57" s="20" t="s">
        <v>40</v>
      </c>
      <c r="H57" s="19"/>
      <c r="I57" s="19"/>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2:52" x14ac:dyDescent="0.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row>
    <row r="59" spans="2:52" x14ac:dyDescent="0.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row>
  </sheetData>
  <mergeCells count="46">
    <mergeCell ref="B15:C15"/>
    <mergeCell ref="B2:I2"/>
    <mergeCell ref="B3:I3"/>
    <mergeCell ref="B4:I4"/>
    <mergeCell ref="B7:J7"/>
    <mergeCell ref="B8:C8"/>
    <mergeCell ref="B9:C9"/>
    <mergeCell ref="B10:C10"/>
    <mergeCell ref="B11:C11"/>
    <mergeCell ref="B12:C12"/>
    <mergeCell ref="B13:C13"/>
    <mergeCell ref="B14:C14"/>
    <mergeCell ref="I30:J30"/>
    <mergeCell ref="B16:C16"/>
    <mergeCell ref="D16:E16"/>
    <mergeCell ref="G16:H16"/>
    <mergeCell ref="B18:J18"/>
    <mergeCell ref="B20:J20"/>
    <mergeCell ref="B23:E23"/>
    <mergeCell ref="G23:J23"/>
    <mergeCell ref="I24:J24"/>
    <mergeCell ref="I27:J27"/>
    <mergeCell ref="I26:J26"/>
    <mergeCell ref="I28:J28"/>
    <mergeCell ref="I31:J31"/>
    <mergeCell ref="I32:J32"/>
    <mergeCell ref="H34:J34"/>
    <mergeCell ref="B37:I37"/>
    <mergeCell ref="B39:C39"/>
    <mergeCell ref="G39:J39"/>
    <mergeCell ref="B40:C40"/>
    <mergeCell ref="H40:J40"/>
    <mergeCell ref="B41:C41"/>
    <mergeCell ref="H41:J41"/>
    <mergeCell ref="B42:C42"/>
    <mergeCell ref="H42:J42"/>
    <mergeCell ref="C50:J50"/>
    <mergeCell ref="C51:J51"/>
    <mergeCell ref="C52:J52"/>
    <mergeCell ref="B55:C55"/>
    <mergeCell ref="B43:C43"/>
    <mergeCell ref="B44:C44"/>
    <mergeCell ref="G44:J45"/>
    <mergeCell ref="B45:C45"/>
    <mergeCell ref="B47:I47"/>
    <mergeCell ref="C49:J49"/>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3</xdr:col>
                    <xdr:colOff>38100</xdr:colOff>
                    <xdr:row>15</xdr:row>
                    <xdr:rowOff>69850</xdr:rowOff>
                  </from>
                  <to>
                    <xdr:col>3</xdr:col>
                    <xdr:colOff>241300</xdr:colOff>
                    <xdr:row>15</xdr:row>
                    <xdr:rowOff>241300</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3</xdr:col>
                    <xdr:colOff>1612900</xdr:colOff>
                    <xdr:row>15</xdr:row>
                    <xdr:rowOff>76200</xdr:rowOff>
                  </from>
                  <to>
                    <xdr:col>4</xdr:col>
                    <xdr:colOff>50800</xdr:colOff>
                    <xdr:row>15</xdr:row>
                    <xdr:rowOff>247650</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8</xdr:col>
                    <xdr:colOff>31750</xdr:colOff>
                    <xdr:row>15</xdr:row>
                    <xdr:rowOff>88900</xdr:rowOff>
                  </from>
                  <to>
                    <xdr:col>8</xdr:col>
                    <xdr:colOff>228600</xdr:colOff>
                    <xdr:row>15</xdr:row>
                    <xdr:rowOff>260350</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8</xdr:col>
                    <xdr:colOff>819150</xdr:colOff>
                    <xdr:row>15</xdr:row>
                    <xdr:rowOff>88900</xdr:rowOff>
                  </from>
                  <to>
                    <xdr:col>8</xdr:col>
                    <xdr:colOff>1022350</xdr:colOff>
                    <xdr:row>15</xdr:row>
                    <xdr:rowOff>260350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94DB-A132-4E20-A047-FD09FC4EEED9}">
  <dimension ref="A2:AZ59"/>
  <sheetViews>
    <sheetView showGridLines="0" topLeftCell="A22" zoomScale="80" zoomScaleNormal="80" workbookViewId="0">
      <selection activeCell="D32" sqref="D32"/>
    </sheetView>
  </sheetViews>
  <sheetFormatPr baseColWidth="10" defaultColWidth="11.453125" defaultRowHeight="13.5" x14ac:dyDescent="0.35"/>
  <cols>
    <col min="1" max="1" width="4.54296875" style="3" customWidth="1"/>
    <col min="2" max="2" width="23.453125" style="7" customWidth="1"/>
    <col min="3" max="3" width="20" style="3" customWidth="1"/>
    <col min="4" max="5" width="26.453125" style="3" customWidth="1"/>
    <col min="6" max="6" width="6.54296875" style="3" customWidth="1"/>
    <col min="7" max="7" width="24.1796875" style="3" customWidth="1"/>
    <col min="8" max="8" width="25.1796875" style="3" customWidth="1"/>
    <col min="9" max="9" width="29.453125" style="3" customWidth="1"/>
    <col min="10" max="10" width="22.453125" style="3" customWidth="1"/>
    <col min="11" max="16384" width="11.453125" style="3"/>
  </cols>
  <sheetData>
    <row r="2" spans="2:50" ht="20.5" x14ac:dyDescent="0.35">
      <c r="B2" s="62" t="s">
        <v>0</v>
      </c>
      <c r="C2" s="62"/>
      <c r="D2" s="62"/>
      <c r="E2" s="62"/>
      <c r="F2" s="62"/>
      <c r="G2" s="62"/>
      <c r="H2" s="62"/>
      <c r="I2" s="62"/>
    </row>
    <row r="3" spans="2:50" ht="20.5" x14ac:dyDescent="0.35">
      <c r="B3" s="62" t="s">
        <v>52</v>
      </c>
      <c r="C3" s="62"/>
      <c r="D3" s="62"/>
      <c r="E3" s="62"/>
      <c r="F3" s="62"/>
      <c r="G3" s="62"/>
      <c r="H3" s="62"/>
      <c r="I3" s="62"/>
    </row>
    <row r="4" spans="2:50" ht="15.5" x14ac:dyDescent="0.35">
      <c r="B4" s="63" t="s">
        <v>53</v>
      </c>
      <c r="C4" s="63"/>
      <c r="D4" s="63"/>
      <c r="E4" s="63"/>
      <c r="F4" s="63"/>
      <c r="G4" s="63"/>
      <c r="H4" s="63"/>
      <c r="I4" s="63"/>
    </row>
    <row r="5" spans="2:50" x14ac:dyDescent="0.35">
      <c r="B5" s="50"/>
    </row>
    <row r="7" spans="2:50" ht="28.5" customHeight="1" x14ac:dyDescent="0.35">
      <c r="B7" s="64" t="s">
        <v>1</v>
      </c>
      <c r="C7" s="64"/>
      <c r="D7" s="64"/>
      <c r="E7" s="64"/>
      <c r="F7" s="64"/>
      <c r="G7" s="64"/>
      <c r="H7" s="64"/>
      <c r="I7" s="64"/>
      <c r="J7" s="64"/>
    </row>
    <row r="8" spans="2:50" ht="24.75" customHeight="1" x14ac:dyDescent="0.35">
      <c r="B8" s="61" t="s">
        <v>2</v>
      </c>
      <c r="C8" s="61"/>
      <c r="D8" s="14">
        <v>46087</v>
      </c>
      <c r="E8" s="14"/>
      <c r="F8" s="14"/>
      <c r="G8" s="14"/>
      <c r="H8" s="14"/>
      <c r="I8" s="14"/>
      <c r="J8" s="14"/>
    </row>
    <row r="9" spans="2:50" ht="24.75" customHeight="1" x14ac:dyDescent="0.35">
      <c r="B9" s="61" t="s">
        <v>3</v>
      </c>
      <c r="C9" s="61" t="s">
        <v>4</v>
      </c>
      <c r="D9" s="41" t="s">
        <v>72</v>
      </c>
      <c r="E9" s="14"/>
      <c r="F9" s="14"/>
      <c r="G9" s="14"/>
      <c r="H9" s="14"/>
      <c r="I9" s="14"/>
      <c r="J9" s="14"/>
    </row>
    <row r="10" spans="2:50" ht="24.75" customHeight="1" x14ac:dyDescent="0.35">
      <c r="B10" s="61" t="s">
        <v>58</v>
      </c>
      <c r="C10" s="61" t="s">
        <v>5</v>
      </c>
      <c r="D10" s="41" t="s">
        <v>73</v>
      </c>
      <c r="E10" s="14"/>
      <c r="F10" s="14"/>
      <c r="G10" s="14"/>
      <c r="H10" s="14"/>
      <c r="I10" s="14"/>
      <c r="J10" s="14"/>
    </row>
    <row r="11" spans="2:50" ht="24.75" customHeight="1" x14ac:dyDescent="0.35">
      <c r="B11" s="61" t="s">
        <v>6</v>
      </c>
      <c r="C11" s="61">
        <v>890800252</v>
      </c>
      <c r="D11" s="41" t="s">
        <v>80</v>
      </c>
      <c r="E11" s="14"/>
      <c r="F11" s="14"/>
      <c r="G11" s="14"/>
      <c r="H11" s="14"/>
      <c r="I11" s="14"/>
      <c r="J11" s="14"/>
    </row>
    <row r="12" spans="2:50" ht="24.75" customHeight="1" x14ac:dyDescent="0.35">
      <c r="B12" s="61" t="s">
        <v>7</v>
      </c>
      <c r="C12" s="61" t="s">
        <v>8</v>
      </c>
      <c r="D12" s="41" t="s">
        <v>74</v>
      </c>
      <c r="E12" s="14"/>
      <c r="F12" s="14"/>
      <c r="G12" s="14"/>
      <c r="H12" s="14"/>
      <c r="I12" s="14"/>
      <c r="J12" s="14"/>
    </row>
    <row r="13" spans="2:50" ht="24.75" customHeight="1" x14ac:dyDescent="0.35">
      <c r="B13" s="61" t="s">
        <v>61</v>
      </c>
      <c r="C13" s="61">
        <v>82401</v>
      </c>
      <c r="D13" s="41" t="s">
        <v>81</v>
      </c>
      <c r="E13" s="14"/>
      <c r="F13" s="14"/>
      <c r="G13" s="14"/>
      <c r="H13" s="14"/>
      <c r="I13" s="14"/>
      <c r="J13" s="14"/>
    </row>
    <row r="14" spans="2:50" ht="24.75" customHeight="1" x14ac:dyDescent="0.35">
      <c r="B14" s="61" t="s">
        <v>9</v>
      </c>
      <c r="C14" s="61"/>
      <c r="D14" s="41" t="s">
        <v>82</v>
      </c>
      <c r="E14" s="14"/>
      <c r="F14" s="14"/>
      <c r="G14" s="14"/>
      <c r="H14" s="14"/>
      <c r="I14" s="14"/>
      <c r="J14" s="14"/>
    </row>
    <row r="15" spans="2:50" ht="24.75" customHeight="1" x14ac:dyDescent="0.35">
      <c r="B15" s="61" t="s">
        <v>10</v>
      </c>
      <c r="C15" s="61"/>
      <c r="D15" s="41" t="s">
        <v>75</v>
      </c>
      <c r="E15" s="14"/>
      <c r="F15" s="14"/>
      <c r="G15" s="14"/>
      <c r="H15" s="14"/>
      <c r="I15" s="14"/>
      <c r="J15" s="14"/>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2:50" ht="27" customHeight="1" x14ac:dyDescent="0.35">
      <c r="B16" s="61" t="s">
        <v>59</v>
      </c>
      <c r="C16" s="61"/>
      <c r="D16" s="101" t="s">
        <v>66</v>
      </c>
      <c r="E16" s="101"/>
      <c r="F16" s="13"/>
      <c r="G16" s="61" t="s">
        <v>67</v>
      </c>
      <c r="H16" s="61"/>
      <c r="I16" s="34" t="s">
        <v>65</v>
      </c>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4.25" customHeight="1" x14ac:dyDescent="0.35">
      <c r="B17" s="48"/>
      <c r="C17" s="48"/>
      <c r="D17" s="13"/>
      <c r="E17" s="13"/>
      <c r="F17" s="13"/>
      <c r="G17" s="13"/>
      <c r="H17" s="13"/>
      <c r="I17" s="1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28.5" customHeight="1" x14ac:dyDescent="0.35">
      <c r="B18" s="64" t="s">
        <v>11</v>
      </c>
      <c r="C18" s="64"/>
      <c r="D18" s="64"/>
      <c r="E18" s="64"/>
      <c r="F18" s="64"/>
      <c r="G18" s="64"/>
      <c r="H18" s="64"/>
      <c r="I18" s="64"/>
      <c r="J18" s="64"/>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9.75" customHeight="1" x14ac:dyDescent="0.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37.5" customHeight="1" x14ac:dyDescent="0.35">
      <c r="B20" s="60" t="s">
        <v>62</v>
      </c>
      <c r="C20" s="60"/>
      <c r="D20" s="60"/>
      <c r="E20" s="60"/>
      <c r="F20" s="60"/>
      <c r="G20" s="60"/>
      <c r="H20" s="60"/>
      <c r="I20" s="60"/>
      <c r="J20" s="6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9.75" customHeight="1" x14ac:dyDescent="0.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9.75" customHeight="1" x14ac:dyDescent="0.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27" customHeight="1" x14ac:dyDescent="0.35">
      <c r="B23" s="65" t="s">
        <v>105</v>
      </c>
      <c r="C23" s="65"/>
      <c r="D23" s="65"/>
      <c r="E23" s="65"/>
      <c r="G23" s="65" t="s">
        <v>12</v>
      </c>
      <c r="H23" s="65"/>
      <c r="I23" s="65"/>
      <c r="J23" s="6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30" customHeight="1" x14ac:dyDescent="0.35">
      <c r="B24" s="51" t="s">
        <v>13</v>
      </c>
      <c r="C24" s="51" t="s">
        <v>14</v>
      </c>
      <c r="D24" s="51" t="s">
        <v>55</v>
      </c>
      <c r="E24" s="51" t="s">
        <v>15</v>
      </c>
      <c r="F24" s="50"/>
      <c r="G24" s="29" t="s">
        <v>16</v>
      </c>
      <c r="H24" s="30" t="s">
        <v>14</v>
      </c>
      <c r="I24" s="85" t="s">
        <v>55</v>
      </c>
      <c r="J24" s="8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34.5" customHeight="1" x14ac:dyDescent="0.35">
      <c r="A25" s="10"/>
      <c r="B25" s="51" t="s">
        <v>70</v>
      </c>
      <c r="C25" s="46" t="s">
        <v>85</v>
      </c>
      <c r="D25" s="46" t="s">
        <v>93</v>
      </c>
      <c r="E25" s="46">
        <v>10196234</v>
      </c>
      <c r="G25" s="26" t="s">
        <v>41</v>
      </c>
      <c r="H25" s="56" t="s">
        <v>87</v>
      </c>
      <c r="I25" s="102"/>
      <c r="J25" s="102"/>
      <c r="K25" s="35"/>
      <c r="L25" s="35"/>
      <c r="M25" s="35"/>
      <c r="N25" s="35"/>
      <c r="O25" s="35"/>
      <c r="P25" s="35"/>
      <c r="Q25" s="35"/>
      <c r="R25" s="35"/>
      <c r="S25" s="35"/>
      <c r="T25" s="35" t="str">
        <f t="shared" ref="T25:T34" si="0">IF(C25="","",CONCATENATE(B25&amp;" - "&amp;C$24&amp;": "&amp;C25&amp;" - "&amp;D$24&amp;": "&amp;D25&amp;" - "&amp;E$24&amp;": "&amp;E25))</f>
        <v>Medidor Principal Activa Reactiva - Marca: METCOM - Tipo, Modelo o Referencia: MCS301-CE42C-300ER-2020 - Serie : 10196234</v>
      </c>
      <c r="U25" s="35"/>
      <c r="V25" s="35"/>
      <c r="W25" s="35"/>
      <c r="X25" s="35"/>
      <c r="Y25" s="35" t="str">
        <f>IF(H25="","",CONCATENATE(G25&amp;" - "&amp;H$24&amp;": "&amp;H25&amp;" - "&amp;I$24&amp;": "&amp;I25&amp;" - "&amp;H$30&amp;": "&amp;H31&amp;" - "&amp;I$30&amp;": "&amp;I31))</f>
        <v xml:space="preserve">Cables para señales de tension  - Marca: CENTELSA - Tipo, Modelo o Referencia:  - Longitud:  - Calibre: </v>
      </c>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34.5" customHeight="1" x14ac:dyDescent="0.35">
      <c r="A26" s="10"/>
      <c r="B26" s="51"/>
      <c r="C26" s="46"/>
      <c r="D26" s="46"/>
      <c r="E26" s="46"/>
      <c r="G26" s="26" t="s">
        <v>42</v>
      </c>
      <c r="H26" s="42" t="s">
        <v>87</v>
      </c>
      <c r="I26" s="95"/>
      <c r="J26" s="95"/>
      <c r="K26" s="35"/>
      <c r="L26" s="35"/>
      <c r="M26" s="35"/>
      <c r="N26" s="35"/>
      <c r="O26" s="35"/>
      <c r="P26" s="35"/>
      <c r="Q26" s="35"/>
      <c r="R26" s="35"/>
      <c r="S26" s="35"/>
      <c r="T26" s="35" t="str">
        <f t="shared" si="0"/>
        <v/>
      </c>
      <c r="U26" s="35"/>
      <c r="V26" s="35"/>
      <c r="W26" s="35"/>
      <c r="X26" s="35"/>
      <c r="Y26" s="35" t="str">
        <f>IF(H26="","",CONCATENATE(G26&amp;" - "&amp;H$24&amp;": "&amp;H26&amp;" - "&amp;I$24&amp;": "&amp;I26&amp;" - "&amp;H$30&amp;": "&amp;H32&amp;" - "&amp;I$30&amp;": "&amp;I32))</f>
        <v>Cables para señales de corriente - Marca: CENTELSA - Tipo, Modelo o Referencia:  - Longitud: 4 - Calibre: 12</v>
      </c>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34.5" customHeight="1" x14ac:dyDescent="0.35">
      <c r="A27" s="10"/>
      <c r="B27" s="51" t="s">
        <v>71</v>
      </c>
      <c r="C27" s="46"/>
      <c r="D27" s="46"/>
      <c r="E27" s="46"/>
      <c r="G27" s="26" t="s">
        <v>44</v>
      </c>
      <c r="H27" s="42" t="s">
        <v>77</v>
      </c>
      <c r="I27" s="95" t="s">
        <v>99</v>
      </c>
      <c r="J27" s="95"/>
      <c r="K27" s="35"/>
      <c r="L27" s="35"/>
      <c r="M27" s="35"/>
      <c r="N27" s="35"/>
      <c r="O27" s="35"/>
      <c r="P27" s="35"/>
      <c r="Q27" s="35"/>
      <c r="R27" s="35"/>
      <c r="S27" s="35"/>
      <c r="T27" s="35" t="str">
        <f t="shared" si="0"/>
        <v/>
      </c>
      <c r="U27" s="35"/>
      <c r="V27" s="35"/>
      <c r="W27" s="35"/>
      <c r="X27" s="35"/>
      <c r="Y27" s="35" t="str">
        <f>IF(H27="","",CONCATENATE(G27&amp;" - "&amp;H$24&amp;": "&amp;H27&amp;" - "&amp;I$24&amp;": "&amp;I27))</f>
        <v>Gabinete - Marca: UMI - Tipo, Modelo o Referencia: INT/TAB MDD CRD 800A 220V 220 080 070 OP 1245</v>
      </c>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34.5" customHeight="1" x14ac:dyDescent="0.35">
      <c r="A28" s="10"/>
      <c r="B28" s="51"/>
      <c r="C28" s="46"/>
      <c r="D28" s="46"/>
      <c r="E28" s="46"/>
      <c r="G28" s="26" t="s">
        <v>47</v>
      </c>
      <c r="H28" s="42"/>
      <c r="I28" s="95"/>
      <c r="J28" s="95"/>
      <c r="K28" s="35"/>
      <c r="L28" s="35"/>
      <c r="M28" s="35"/>
      <c r="N28" s="35"/>
      <c r="O28" s="35"/>
      <c r="P28" s="35"/>
      <c r="Q28" s="35"/>
      <c r="R28" s="35"/>
      <c r="S28" s="35"/>
      <c r="T28" s="35" t="str">
        <f t="shared" si="0"/>
        <v/>
      </c>
      <c r="U28" s="35"/>
      <c r="V28" s="35"/>
      <c r="W28" s="35"/>
      <c r="X28" s="35"/>
      <c r="Y28" s="35" t="str">
        <f>IF(H28="","",CONCATENATE(G28&amp;" - "&amp;H$24&amp;": "&amp;H28&amp;" - "&amp;I$24&amp;": "&amp;I28))</f>
        <v/>
      </c>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34.5" customHeight="1" x14ac:dyDescent="0.35">
      <c r="A29" s="10"/>
      <c r="B29" s="51" t="s">
        <v>43</v>
      </c>
      <c r="C29" s="46" t="s">
        <v>83</v>
      </c>
      <c r="D29" s="57" t="s">
        <v>84</v>
      </c>
      <c r="E29" s="57">
        <v>10695050</v>
      </c>
      <c r="H29" s="50"/>
      <c r="I29" s="50"/>
      <c r="J29" s="43"/>
      <c r="K29" s="35"/>
      <c r="L29" s="35"/>
      <c r="M29" s="35"/>
      <c r="N29" s="35"/>
      <c r="O29" s="35"/>
      <c r="P29" s="35"/>
      <c r="Q29" s="35"/>
      <c r="R29" s="35"/>
      <c r="S29" s="35"/>
      <c r="T29" s="35" t="str">
        <f t="shared" si="0"/>
        <v>TC 1 - Marca: BLOX - Tipo, Modelo o Referencia: HS600 (VENTANA) - Serie : 10695050</v>
      </c>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34.5" customHeight="1" x14ac:dyDescent="0.35">
      <c r="A30" s="10"/>
      <c r="B30" s="51" t="s">
        <v>45</v>
      </c>
      <c r="C30" s="57" t="s">
        <v>83</v>
      </c>
      <c r="D30" s="57" t="s">
        <v>84</v>
      </c>
      <c r="E30" s="57">
        <v>10695051</v>
      </c>
      <c r="G30" s="51" t="s">
        <v>16</v>
      </c>
      <c r="H30" s="15" t="s">
        <v>56</v>
      </c>
      <c r="I30" s="85" t="s">
        <v>57</v>
      </c>
      <c r="J30" s="85"/>
      <c r="K30" s="35"/>
      <c r="L30" s="35"/>
      <c r="M30" s="35"/>
      <c r="N30" s="35"/>
      <c r="O30" s="35"/>
      <c r="P30" s="35"/>
      <c r="Q30" s="35"/>
      <c r="R30" s="35"/>
      <c r="S30" s="35"/>
      <c r="T30" s="35" t="str">
        <f t="shared" si="0"/>
        <v>TC 2 - Marca: BLOX - Tipo, Modelo o Referencia: HS600 (VENTANA) - Serie : 10695051</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34.5" customHeight="1" x14ac:dyDescent="0.35">
      <c r="B31" s="51" t="s">
        <v>46</v>
      </c>
      <c r="C31" s="57" t="s">
        <v>83</v>
      </c>
      <c r="D31" s="57" t="s">
        <v>84</v>
      </c>
      <c r="E31" s="57">
        <v>10695143</v>
      </c>
      <c r="G31" s="26" t="s">
        <v>41</v>
      </c>
      <c r="H31" s="42"/>
      <c r="I31" s="95"/>
      <c r="J31" s="95"/>
      <c r="K31" s="35"/>
      <c r="L31" s="35"/>
      <c r="M31" s="35"/>
      <c r="N31" s="35"/>
      <c r="O31" s="35"/>
      <c r="P31" s="35"/>
      <c r="Q31" s="35"/>
      <c r="R31" s="35"/>
      <c r="S31" s="35"/>
      <c r="T31" s="35" t="str">
        <f t="shared" si="0"/>
        <v>TC 3 - Marca: BLOX - Tipo, Modelo o Referencia: HS600 (VENTANA) - Serie : 10695143</v>
      </c>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34.5" customHeight="1" x14ac:dyDescent="0.35">
      <c r="B32" s="51" t="s">
        <v>48</v>
      </c>
      <c r="C32" s="46"/>
      <c r="D32" s="46"/>
      <c r="E32" s="46"/>
      <c r="G32" s="26" t="s">
        <v>42</v>
      </c>
      <c r="H32" s="42">
        <v>4</v>
      </c>
      <c r="I32" s="95" t="s">
        <v>89</v>
      </c>
      <c r="J32" s="95"/>
      <c r="K32" s="35"/>
      <c r="L32" s="35"/>
      <c r="M32" s="35"/>
      <c r="N32" s="35"/>
      <c r="O32" s="35"/>
      <c r="P32" s="35"/>
      <c r="Q32" s="35"/>
      <c r="R32" s="35"/>
      <c r="S32" s="35"/>
      <c r="T32" s="35" t="str">
        <f t="shared" si="0"/>
        <v/>
      </c>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2" ht="34.5" customHeight="1" x14ac:dyDescent="0.35">
      <c r="B33" s="51" t="s">
        <v>49</v>
      </c>
      <c r="C33" s="45"/>
      <c r="D33" s="45"/>
      <c r="E33" s="46"/>
      <c r="J33" s="27"/>
      <c r="K33" s="35"/>
      <c r="L33" s="35"/>
      <c r="M33" s="35"/>
      <c r="N33" s="35"/>
      <c r="O33" s="35"/>
      <c r="P33" s="35"/>
      <c r="Q33" s="35"/>
      <c r="R33" s="35"/>
      <c r="S33" s="35"/>
      <c r="T33" s="35" t="str">
        <f t="shared" si="0"/>
        <v/>
      </c>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2" ht="34.5" customHeight="1" x14ac:dyDescent="0.35">
      <c r="B34" s="51" t="s">
        <v>50</v>
      </c>
      <c r="C34" s="45"/>
      <c r="D34" s="45"/>
      <c r="E34" s="2"/>
      <c r="G34" s="51" t="s">
        <v>51</v>
      </c>
      <c r="H34" s="96"/>
      <c r="I34" s="97"/>
      <c r="J34" s="97"/>
      <c r="K34" s="35"/>
      <c r="L34" s="35"/>
      <c r="M34" s="35"/>
      <c r="N34" s="35"/>
      <c r="O34" s="35"/>
      <c r="P34" s="35"/>
      <c r="Q34" s="35"/>
      <c r="R34" s="35"/>
      <c r="S34" s="35"/>
      <c r="T34" s="35" t="str">
        <f t="shared" si="0"/>
        <v/>
      </c>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2" x14ac:dyDescent="0.35">
      <c r="B35" s="8"/>
      <c r="C35" s="8"/>
      <c r="D35" s="8"/>
      <c r="E35" s="8"/>
      <c r="J35" s="27"/>
      <c r="K35" s="35"/>
      <c r="L35" s="35"/>
      <c r="M35" s="35"/>
      <c r="N35" s="35"/>
      <c r="O35" s="35"/>
      <c r="P35" s="35"/>
      <c r="Q35" s="35"/>
      <c r="R35" s="35"/>
      <c r="S35" s="35"/>
      <c r="T35" s="35" t="str">
        <f>CONCATENATE(T25&amp;"     "&amp;T26&amp;"     "&amp;T27&amp;"     "&amp;T28&amp;"     "&amp;T29&amp;"     "&amp;T30&amp;"     "&amp;T31&amp;"     "&amp;T32&amp;"     "&amp;T33&amp;"     "&amp;T34)</f>
        <v xml:space="preserve">Medidor Principal Activa Reactiva - Marca: METCOM - Tipo, Modelo o Referencia: MCS301-CE42C-300ER-2020 - Serie : 10196234                    TC 1 - Marca: BLOX - Tipo, Modelo o Referencia: HS600 (VENTANA) - Serie : 10695050     TC 2 - Marca: BLOX - Tipo, Modelo o Referencia: HS600 (VENTANA) - Serie : 10695051     TC 3 - Marca: BLOX - Tipo, Modelo o Referencia: HS600 (VENTANA) - Serie : 10695143               </v>
      </c>
      <c r="U35" s="35"/>
      <c r="V35" s="35"/>
      <c r="W35" s="35" t="str">
        <f t="shared" ref="W35:X35" si="1">CONCATENATE(W25&amp;"     "&amp;W26&amp;"     "&amp;W27&amp;"     "&amp;W28&amp;"     "&amp;W29&amp;"     "&amp;W30&amp;"     "&amp;W31&amp;"     "&amp;W32&amp;"     "&amp;W33&amp;"     "&amp;W34)</f>
        <v xml:space="preserve">                                             </v>
      </c>
      <c r="X35" s="35" t="str">
        <f t="shared" si="1"/>
        <v xml:space="preserve">                                             </v>
      </c>
      <c r="Y35" s="35" t="str">
        <f>CONCATENATE(Y25&amp;"     "&amp;Y26&amp;"     "&amp;Y27&amp;"     "&amp;Y28&amp;"     "&amp;Y29&amp;"     "&amp;Y30&amp;"     "&amp;Y31&amp;"     "&amp;Y32&amp;"     "&amp;Y33&amp;"     "&amp;Y34)</f>
        <v xml:space="preserve">Cables para señales de tension  - Marca: CENTELSA - Tipo, Modelo o Referencia:  - Longitud:  - Calibre:      Cables para señales de corriente - Marca: CENTELSA - Tipo, Modelo o Referencia:  - Longitud: 4 - Calibre: 12     Gabinete - Marca: UMI - Tipo, Modelo o Referencia: INT/TAB MDD CRD 800A 220V 220 080 070 OP 1245                                   </v>
      </c>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row>
    <row r="36" spans="1:52" x14ac:dyDescent="0.35">
      <c r="B36" s="8"/>
      <c r="C36" s="9"/>
      <c r="D36" s="9"/>
      <c r="E36" s="1"/>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spans="1:52" x14ac:dyDescent="0.35">
      <c r="B37" s="60" t="s">
        <v>19</v>
      </c>
      <c r="C37" s="60"/>
      <c r="D37" s="60"/>
      <c r="E37" s="60"/>
      <c r="F37" s="60"/>
      <c r="G37" s="60"/>
      <c r="H37" s="60"/>
      <c r="I37" s="60"/>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row>
    <row r="38" spans="1:52" x14ac:dyDescent="0.35">
      <c r="B38" s="48"/>
      <c r="C38" s="48"/>
      <c r="D38" s="48"/>
      <c r="E38" s="48"/>
      <c r="F38" s="48"/>
      <c r="G38" s="48"/>
      <c r="H38" s="48"/>
      <c r="I38" s="48"/>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row>
    <row r="39" spans="1:52" s="7" customFormat="1" ht="55.5" customHeight="1" x14ac:dyDescent="0.35">
      <c r="B39" s="98" t="s">
        <v>20</v>
      </c>
      <c r="C39" s="98"/>
      <c r="D39" s="52" t="s">
        <v>21</v>
      </c>
      <c r="E39" s="52" t="s">
        <v>22</v>
      </c>
      <c r="F39" s="1"/>
      <c r="G39" s="99" t="s">
        <v>23</v>
      </c>
      <c r="H39" s="100"/>
      <c r="I39" s="100"/>
      <c r="J39" s="100"/>
      <c r="K39" s="38"/>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row>
    <row r="40" spans="1:52" ht="27" customHeight="1" x14ac:dyDescent="0.35">
      <c r="B40" s="85" t="s">
        <v>24</v>
      </c>
      <c r="C40" s="85"/>
      <c r="D40" s="2"/>
      <c r="E40" s="21"/>
      <c r="F40" s="11"/>
      <c r="G40" s="49"/>
      <c r="H40" s="58"/>
      <c r="I40" s="58"/>
      <c r="J40" s="58"/>
      <c r="K40" s="39"/>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row>
    <row r="41" spans="1:52" ht="27" customHeight="1" x14ac:dyDescent="0.35">
      <c r="A41" s="50"/>
      <c r="B41" s="85" t="s">
        <v>25</v>
      </c>
      <c r="C41" s="85"/>
      <c r="D41" s="2"/>
      <c r="E41" s="21"/>
      <c r="G41" s="49" t="s">
        <v>26</v>
      </c>
      <c r="H41" s="58"/>
      <c r="I41" s="58"/>
      <c r="J41" s="58"/>
      <c r="K41" s="39"/>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spans="1:52" ht="23.25" customHeight="1" x14ac:dyDescent="0.35">
      <c r="A42" s="7"/>
      <c r="B42" s="85" t="s">
        <v>27</v>
      </c>
      <c r="C42" s="85"/>
      <c r="D42" s="2"/>
      <c r="E42" s="21"/>
      <c r="G42" s="49" t="s">
        <v>28</v>
      </c>
      <c r="H42" s="58"/>
      <c r="I42" s="58"/>
      <c r="J42" s="58"/>
      <c r="K42" s="39"/>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spans="1:52" ht="23.25" customHeight="1" x14ac:dyDescent="0.35">
      <c r="B43" s="85" t="s">
        <v>29</v>
      </c>
      <c r="C43" s="85"/>
      <c r="D43" s="2"/>
      <c r="E43" s="21"/>
      <c r="H43" s="28"/>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row>
    <row r="44" spans="1:52" ht="23.25" customHeight="1" x14ac:dyDescent="0.35">
      <c r="B44" s="85" t="s">
        <v>30</v>
      </c>
      <c r="C44" s="85"/>
      <c r="D44" s="2"/>
      <c r="E44" s="21"/>
      <c r="G44" s="86" t="s">
        <v>31</v>
      </c>
      <c r="H44" s="87"/>
      <c r="I44" s="87"/>
      <c r="J44" s="88"/>
      <c r="K44" s="40"/>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row>
    <row r="45" spans="1:52" ht="23.25" customHeight="1" x14ac:dyDescent="0.35">
      <c r="B45" s="85" t="s">
        <v>32</v>
      </c>
      <c r="C45" s="85"/>
      <c r="D45" s="2"/>
      <c r="E45" s="21"/>
      <c r="G45" s="89"/>
      <c r="H45" s="90"/>
      <c r="I45" s="90"/>
      <c r="J45" s="91"/>
      <c r="K45" s="40"/>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row>
    <row r="46" spans="1:52" x14ac:dyDescent="0.35">
      <c r="G46" s="8"/>
      <c r="H46" s="8"/>
      <c r="I46" s="8"/>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row>
    <row r="47" spans="1:52" x14ac:dyDescent="0.35">
      <c r="B47" s="60" t="s">
        <v>33</v>
      </c>
      <c r="C47" s="60"/>
      <c r="D47" s="60"/>
      <c r="E47" s="60"/>
      <c r="F47" s="60"/>
      <c r="G47" s="60"/>
      <c r="H47" s="60"/>
      <c r="I47" s="60"/>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row>
    <row r="48" spans="1:52" x14ac:dyDescent="0.35">
      <c r="G48" s="8"/>
      <c r="H48" s="8"/>
      <c r="I48" s="8"/>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row>
    <row r="49" spans="2:52" x14ac:dyDescent="0.35">
      <c r="B49" s="49" t="s">
        <v>34</v>
      </c>
      <c r="C49" s="92"/>
      <c r="D49" s="93"/>
      <c r="E49" s="93"/>
      <c r="F49" s="93"/>
      <c r="G49" s="93"/>
      <c r="H49" s="93"/>
      <c r="I49" s="93"/>
      <c r="J49" s="9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row>
    <row r="50" spans="2:52" x14ac:dyDescent="0.35">
      <c r="B50" s="49" t="s">
        <v>35</v>
      </c>
      <c r="C50" s="76"/>
      <c r="D50" s="77"/>
      <c r="E50" s="77"/>
      <c r="F50" s="77"/>
      <c r="G50" s="77"/>
      <c r="H50" s="77"/>
      <c r="I50" s="77"/>
      <c r="J50" s="78"/>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row>
    <row r="51" spans="2:52" x14ac:dyDescent="0.35">
      <c r="B51" s="49" t="s">
        <v>36</v>
      </c>
      <c r="C51" s="79"/>
      <c r="D51" s="80"/>
      <c r="E51" s="80"/>
      <c r="F51" s="80"/>
      <c r="G51" s="80"/>
      <c r="H51" s="80"/>
      <c r="I51" s="80"/>
      <c r="J51" s="81"/>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2:52" x14ac:dyDescent="0.35">
      <c r="B52" s="49" t="s">
        <v>37</v>
      </c>
      <c r="C52" s="82"/>
      <c r="D52" s="83"/>
      <c r="E52" s="83"/>
      <c r="F52" s="83"/>
      <c r="G52" s="83"/>
      <c r="H52" s="83"/>
      <c r="I52" s="83"/>
      <c r="J52" s="84"/>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row>
    <row r="53" spans="2:52" x14ac:dyDescent="0.35">
      <c r="G53" s="8"/>
      <c r="H53" s="8"/>
      <c r="I53" s="8"/>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row>
    <row r="54" spans="2:52" x14ac:dyDescent="0.35">
      <c r="G54" s="8"/>
      <c r="H54" s="8"/>
      <c r="I54" s="8"/>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row>
    <row r="55" spans="2:52" s="16" customFormat="1" ht="15" customHeight="1" x14ac:dyDescent="0.35">
      <c r="B55" s="59" t="s">
        <v>38</v>
      </c>
      <c r="C55" s="59"/>
      <c r="D55" s="47"/>
      <c r="G55" s="17"/>
      <c r="H55" s="17"/>
      <c r="I55" s="1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spans="2:52" s="16" customFormat="1" ht="7.5" customHeight="1" x14ac:dyDescent="0.35">
      <c r="B56" s="18"/>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2:52" s="16" customFormat="1" ht="15.5" x14ac:dyDescent="0.35">
      <c r="B57" s="18" t="s">
        <v>39</v>
      </c>
      <c r="C57" s="19" t="s">
        <v>76</v>
      </c>
      <c r="D57" s="19"/>
      <c r="E57" s="19"/>
      <c r="F57" s="19"/>
      <c r="G57" s="20" t="s">
        <v>40</v>
      </c>
      <c r="H57" s="19"/>
      <c r="I57" s="19"/>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2:52" x14ac:dyDescent="0.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row>
    <row r="59" spans="2:52" x14ac:dyDescent="0.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row>
  </sheetData>
  <mergeCells count="47">
    <mergeCell ref="B15:C15"/>
    <mergeCell ref="B2:I2"/>
    <mergeCell ref="B3:I3"/>
    <mergeCell ref="B4:I4"/>
    <mergeCell ref="B7:J7"/>
    <mergeCell ref="B8:C8"/>
    <mergeCell ref="B9:C9"/>
    <mergeCell ref="B10:C10"/>
    <mergeCell ref="B11:C11"/>
    <mergeCell ref="B12:C12"/>
    <mergeCell ref="B13:C13"/>
    <mergeCell ref="B14:C14"/>
    <mergeCell ref="I30:J30"/>
    <mergeCell ref="B16:C16"/>
    <mergeCell ref="D16:E16"/>
    <mergeCell ref="G16:H16"/>
    <mergeCell ref="B18:J18"/>
    <mergeCell ref="B20:J20"/>
    <mergeCell ref="B23:E23"/>
    <mergeCell ref="G23:J23"/>
    <mergeCell ref="I24:J24"/>
    <mergeCell ref="I25:J25"/>
    <mergeCell ref="I26:J26"/>
    <mergeCell ref="I27:J27"/>
    <mergeCell ref="I28:J28"/>
    <mergeCell ref="I31:J31"/>
    <mergeCell ref="I32:J32"/>
    <mergeCell ref="H34:J34"/>
    <mergeCell ref="B37:I37"/>
    <mergeCell ref="B39:C39"/>
    <mergeCell ref="G39:J39"/>
    <mergeCell ref="B40:C40"/>
    <mergeCell ref="H40:J40"/>
    <mergeCell ref="B41:C41"/>
    <mergeCell ref="H41:J41"/>
    <mergeCell ref="B42:C42"/>
    <mergeCell ref="H42:J42"/>
    <mergeCell ref="C50:J50"/>
    <mergeCell ref="C51:J51"/>
    <mergeCell ref="C52:J52"/>
    <mergeCell ref="B55:C55"/>
    <mergeCell ref="B43:C43"/>
    <mergeCell ref="B44:C44"/>
    <mergeCell ref="G44:J45"/>
    <mergeCell ref="B45:C45"/>
    <mergeCell ref="B47:I47"/>
    <mergeCell ref="C49:J49"/>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3</xdr:col>
                    <xdr:colOff>38100</xdr:colOff>
                    <xdr:row>15</xdr:row>
                    <xdr:rowOff>69850</xdr:rowOff>
                  </from>
                  <to>
                    <xdr:col>3</xdr:col>
                    <xdr:colOff>241300</xdr:colOff>
                    <xdr:row>15</xdr:row>
                    <xdr:rowOff>241300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3</xdr:col>
                    <xdr:colOff>1612900</xdr:colOff>
                    <xdr:row>15</xdr:row>
                    <xdr:rowOff>76200</xdr:rowOff>
                  </from>
                  <to>
                    <xdr:col>4</xdr:col>
                    <xdr:colOff>50800</xdr:colOff>
                    <xdr:row>15</xdr:row>
                    <xdr:rowOff>247650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8</xdr:col>
                    <xdr:colOff>31750</xdr:colOff>
                    <xdr:row>15</xdr:row>
                    <xdr:rowOff>88900</xdr:rowOff>
                  </from>
                  <to>
                    <xdr:col>8</xdr:col>
                    <xdr:colOff>228600</xdr:colOff>
                    <xdr:row>15</xdr:row>
                    <xdr:rowOff>260350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8</xdr:col>
                    <xdr:colOff>819150</xdr:colOff>
                    <xdr:row>15</xdr:row>
                    <xdr:rowOff>88900</xdr:rowOff>
                  </from>
                  <to>
                    <xdr:col>8</xdr:col>
                    <xdr:colOff>1022350</xdr:colOff>
                    <xdr:row>15</xdr:row>
                    <xdr:rowOff>260350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F23432F5083D043B9B72C20AD78362A" ma:contentTypeVersion="10" ma:contentTypeDescription="Crear nuevo documento." ma:contentTypeScope="" ma:versionID="4b04915b1be9f550715d00153e54a0e9">
  <xsd:schema xmlns:xsd="http://www.w3.org/2001/XMLSchema" xmlns:xs="http://www.w3.org/2001/XMLSchema" xmlns:p="http://schemas.microsoft.com/office/2006/metadata/properties" xmlns:ns3="cd2e8d30-7eb9-4b18-9db5-724ed396d560" xmlns:ns4="2b62bb7d-ea1b-4667-b714-f0299439e5d8" targetNamespace="http://schemas.microsoft.com/office/2006/metadata/properties" ma:root="true" ma:fieldsID="35c86ac06b30a6788b8609b09e9ca9e9" ns3:_="" ns4:_="">
    <xsd:import namespace="cd2e8d30-7eb9-4b18-9db5-724ed396d560"/>
    <xsd:import namespace="2b62bb7d-ea1b-4667-b714-f0299439e5d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2e8d30-7eb9-4b18-9db5-724ed396d560"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62bb7d-ea1b-4667-b714-f0299439e5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99F0C3-391C-415D-B849-E9DBCC09B6DC}">
  <ds:schemaRefs>
    <ds:schemaRef ds:uri="2b62bb7d-ea1b-4667-b714-f0299439e5d8"/>
    <ds:schemaRef ds:uri="http://purl.org/dc/terms/"/>
    <ds:schemaRef ds:uri="cd2e8d30-7eb9-4b18-9db5-724ed396d560"/>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A3FC9B2-0476-4FE8-958A-F5B100BCC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2e8d30-7eb9-4b18-9db5-724ed396d560"/>
    <ds:schemaRef ds:uri="2b62bb7d-ea1b-4667-b714-f0299439e5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18508A-F1E8-4E8E-8F66-91650DF49A7D}">
  <ds:schemaRefs>
    <ds:schemaRef ds:uri="http://schemas.microsoft.com/sharepoint/v3/contenttype/forms"/>
  </ds:schemaRefs>
</ds:datastoreItem>
</file>

<file path=docMetadata/LabelInfo.xml><?xml version="1.0" encoding="utf-8"?>
<clbl:labelList xmlns:clbl="http://schemas.microsoft.com/office/2020/mipLabelMetadata">
  <clbl:label id="{666bb131-2344-48ed-84db-fe1e84a9fae2}" enabled="1" method="Standar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Medida directa</vt:lpstr>
      <vt:lpstr>Medida semidirect e indirec (1)</vt:lpstr>
      <vt:lpstr>Medida semidirect e indirec (2)</vt:lpstr>
      <vt:lpstr>Medida semidirect e indirec (3)</vt:lpstr>
      <vt:lpstr>Medida semidirect e indirec (4)</vt:lpstr>
      <vt:lpstr>Medida semidirect e indirec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EPM</dc:creator>
  <cp:lastModifiedBy>Hemer Villada</cp:lastModifiedBy>
  <cp:revision>0</cp:revision>
  <cp:lastPrinted>2019-10-10T20:50:19Z</cp:lastPrinted>
  <dcterms:created xsi:type="dcterms:W3CDTF">2017-04-24T20:11:48Z</dcterms:created>
  <dcterms:modified xsi:type="dcterms:W3CDTF">2026-03-26T17:50:45Z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y_tag_name">
    <vt:lpwstr>MetaClean sync </vt:lpwstr>
  </property>
  <property fmtid="{D5CDD505-2E9C-101B-9397-08002B2CF9AE}" pid="3" name="MSIP_Label_666bb131-2344-48ed-84db-fe1e84a9fae2_Enabled">
    <vt:lpwstr>true</vt:lpwstr>
  </property>
  <property fmtid="{D5CDD505-2E9C-101B-9397-08002B2CF9AE}" pid="4" name="MSIP_Label_666bb131-2344-48ed-84db-fe1e84a9fae2_SetDate">
    <vt:lpwstr>2021-12-20T20:54:23Z</vt:lpwstr>
  </property>
  <property fmtid="{D5CDD505-2E9C-101B-9397-08002B2CF9AE}" pid="5" name="MSIP_Label_666bb131-2344-48ed-84db-fe1e84a9fae2_Method">
    <vt:lpwstr>Standard</vt:lpwstr>
  </property>
  <property fmtid="{D5CDD505-2E9C-101B-9397-08002B2CF9AE}" pid="6" name="MSIP_Label_666bb131-2344-48ed-84db-fe1e84a9fae2_Name">
    <vt:lpwstr>666bb131-2344-48ed-84db-fe1e84a9fae2</vt:lpwstr>
  </property>
  <property fmtid="{D5CDD505-2E9C-101B-9397-08002B2CF9AE}" pid="7" name="MSIP_Label_666bb131-2344-48ed-84db-fe1e84a9fae2_SiteId">
    <vt:lpwstr>bf1ce8b5-5d39-4bc5-ad6e-07b3e4d7d67a</vt:lpwstr>
  </property>
  <property fmtid="{D5CDD505-2E9C-101B-9397-08002B2CF9AE}" pid="8" name="MSIP_Label_666bb131-2344-48ed-84db-fe1e84a9fae2_ActionId">
    <vt:lpwstr>19e1a9a8-505a-445e-a73d-a73c82575f94</vt:lpwstr>
  </property>
  <property fmtid="{D5CDD505-2E9C-101B-9397-08002B2CF9AE}" pid="9" name="MSIP_Label_666bb131-2344-48ed-84db-fe1e84a9fae2_ContentBits">
    <vt:lpwstr>0</vt:lpwstr>
  </property>
</Properties>
</file>